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rkolee\Downloads\"/>
    </mc:Choice>
  </mc:AlternateContent>
  <xr:revisionPtr revIDLastSave="0" documentId="13_ncr:1_{60E60CBF-A720-4100-B820-09B76D536A96}" xr6:coauthVersionLast="47" xr6:coauthVersionMax="47" xr10:uidLastSave="{00000000-0000-0000-0000-000000000000}"/>
  <bookViews>
    <workbookView xWindow="-120" yWindow="-120" windowWidth="20730" windowHeight="11040" xr2:uid="{00000000-000D-0000-FFFF-FFFF00000000}"/>
  </bookViews>
  <sheets>
    <sheet name="DASHBOARD" sheetId="3" r:id="rId1"/>
    <sheet name="KPI'S" sheetId="2" r:id="rId2"/>
    <sheet name="DATA" sheetId="1" r:id="rId3"/>
  </sheets>
  <definedNames>
    <definedName name="_xlcn.WorksheetConnection_reallife.xlsxTable21" hidden="1">Table2[]</definedName>
    <definedName name="Slicer_Att_Grades">#N/A</definedName>
    <definedName name="Slicer_internet_quality">#N/A</definedName>
    <definedName name="Slicer_student_id">#N/A</definedName>
  </definedNames>
  <calcPr calcId="191029"/>
  <pivotCaches>
    <pivotCache cacheId="0" r:id="rId4"/>
    <pivotCache cacheId="17"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real life.xlsx!Table2"/>
        </x15:modelTables>
      </x15:dataModel>
    </ext>
  </extLst>
</workbook>
</file>

<file path=xl/calcChain.xml><?xml version="1.0" encoding="utf-8"?>
<calcChain xmlns="http://schemas.openxmlformats.org/spreadsheetml/2006/main">
  <c r="B61" i="2" l="1"/>
  <c r="B60" i="2"/>
  <c r="B59"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647CA2-8197-4F1E-BCC9-C71D7792DF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01C007-051D-4300-8B58-BB1EFC57A21D}" name="WorksheetConnection_real life.xlsx!Table2" type="102" refreshedVersion="8" minRefreshableVersion="5">
    <extLst>
      <ext xmlns:x15="http://schemas.microsoft.com/office/spreadsheetml/2010/11/main" uri="{DE250136-89BD-433C-8126-D09CA5730AF9}">
        <x15:connection id="Table2" autoDelete="1">
          <x15:rangePr sourceName="_xlcn.WorksheetConnection_reallife.xlsxTable21"/>
        </x15:connection>
      </ext>
    </extLst>
  </connection>
</connections>
</file>

<file path=xl/sharedStrings.xml><?xml version="1.0" encoding="utf-8"?>
<sst xmlns="http://schemas.openxmlformats.org/spreadsheetml/2006/main" count="429" uniqueCount="19">
  <si>
    <t>student_id</t>
  </si>
  <si>
    <t>attendance_percentage</t>
  </si>
  <si>
    <t>cgpa</t>
  </si>
  <si>
    <t>internet_quality</t>
  </si>
  <si>
    <t>burnout_level</t>
  </si>
  <si>
    <t>Good</t>
  </si>
  <si>
    <t>High</t>
  </si>
  <si>
    <t>Poor</t>
  </si>
  <si>
    <t>Low</t>
  </si>
  <si>
    <t>Average</t>
  </si>
  <si>
    <t>Medium</t>
  </si>
  <si>
    <t>Row Labels</t>
  </si>
  <si>
    <t>Average of cgpa</t>
  </si>
  <si>
    <t>Att Grades</t>
  </si>
  <si>
    <t>Average of attendance_percentage</t>
  </si>
  <si>
    <t>Count of cgpa</t>
  </si>
  <si>
    <t>TOTAL STUDENT</t>
  </si>
  <si>
    <t>AVERAGE CGPA</t>
  </si>
  <si>
    <t>AVERAGE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</si>
</sst>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'KPI''S'!$B$31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D-4182-AA35-9D380FF30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D-4182-AA35-9D380FF302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6D-4182-AA35-9D380FF30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'KPI''S'!$A$32:$A$34</c:f>
              <c:strCache>
                <c:ptCount val="3"/>
                <c:pt idx="0">
                  <c:v>Average</c:v>
                </c:pt>
                <c:pt idx="1">
                  <c:v>Good</c:v>
                </c:pt>
                <c:pt idx="2">
                  <c:v>Poor</c:v>
                </c:pt>
              </c:strCache>
            </c:strRef>
          </c:cat>
          <c:val>
            <c:numRef>
              <c:f>'KPI''S'!$B$32:$B$34</c:f>
              <c:numCache>
                <c:formatCode>0</c:formatCode>
                <c:ptCount val="3"/>
                <c:pt idx="0">
                  <c:v>72.620987654320999</c:v>
                </c:pt>
                <c:pt idx="1">
                  <c:v>75.616923076923058</c:v>
                </c:pt>
                <c:pt idx="2">
                  <c:v>73.779629629629625</c:v>
                </c:pt>
              </c:numCache>
            </c:numRef>
          </c:val>
          <c:extLst>
            <c:ext xmlns:c16="http://schemas.microsoft.com/office/drawing/2014/chart" uri="{C3380CC4-5D6E-409C-BE32-E72D297353CC}">
              <c16:uniqueId val="{00000007-8C03-4650-BCEB-37447E5886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4713877745341"/>
          <c:y val="0.11121674103932133"/>
          <c:w val="0.81067980636107584"/>
          <c:h val="0.60588091480464912"/>
        </c:manualLayout>
      </c:layout>
      <c:barChart>
        <c:barDir val="col"/>
        <c:grouping val="clustered"/>
        <c:varyColors val="0"/>
        <c:ser>
          <c:idx val="0"/>
          <c:order val="0"/>
          <c:tx>
            <c:strRef>
              <c:f>'KPI''S'!$B$1</c:f>
              <c:strCache>
                <c:ptCount val="1"/>
                <c:pt idx="0">
                  <c:v>Total</c:v>
                </c:pt>
              </c:strCache>
            </c:strRef>
          </c:tx>
          <c:spPr>
            <a:solidFill>
              <a:schemeClr val="accent1"/>
            </a:solidFill>
            <a:ln>
              <a:noFill/>
            </a:ln>
            <a:effectLst/>
          </c:spPr>
          <c:invertIfNegative val="0"/>
          <c:cat>
            <c:strRef>
              <c:f>'KPI''S'!$A$2:$A$4</c:f>
              <c:strCache>
                <c:ptCount val="3"/>
                <c:pt idx="0">
                  <c:v>Average</c:v>
                </c:pt>
                <c:pt idx="1">
                  <c:v>Good</c:v>
                </c:pt>
                <c:pt idx="2">
                  <c:v>Poor</c:v>
                </c:pt>
              </c:strCache>
            </c:strRef>
          </c:cat>
          <c:val>
            <c:numRef>
              <c:f>'KPI''S'!$B$2:$B$4</c:f>
              <c:numCache>
                <c:formatCode>General</c:formatCode>
                <c:ptCount val="3"/>
                <c:pt idx="0">
                  <c:v>81</c:v>
                </c:pt>
                <c:pt idx="1">
                  <c:v>65</c:v>
                </c:pt>
                <c:pt idx="2">
                  <c:v>54</c:v>
                </c:pt>
              </c:numCache>
            </c:numRef>
          </c:val>
          <c:extLst>
            <c:ext xmlns:c16="http://schemas.microsoft.com/office/drawing/2014/chart" uri="{C3380CC4-5D6E-409C-BE32-E72D297353CC}">
              <c16:uniqueId val="{00000000-8A82-4D86-B3D1-4F4BD81FE228}"/>
            </c:ext>
          </c:extLst>
        </c:ser>
        <c:dLbls>
          <c:showLegendKey val="0"/>
          <c:showVal val="0"/>
          <c:showCatName val="0"/>
          <c:showSerName val="0"/>
          <c:showPercent val="0"/>
          <c:showBubbleSize val="0"/>
        </c:dLbls>
        <c:gapWidth val="219"/>
        <c:overlap val="-27"/>
        <c:axId val="548420799"/>
        <c:axId val="1309084319"/>
      </c:barChart>
      <c:catAx>
        <c:axId val="54842079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84319"/>
        <c:crosses val="autoZero"/>
        <c:auto val="1"/>
        <c:lblAlgn val="ctr"/>
        <c:lblOffset val="100"/>
        <c:noMultiLvlLbl val="0"/>
      </c:catAx>
      <c:valAx>
        <c:axId val="1309084319"/>
        <c:scaling>
          <c:orientation val="minMax"/>
        </c:scaling>
        <c:delete val="1"/>
        <c:axPos val="l"/>
        <c:numFmt formatCode="General" sourceLinked="1"/>
        <c:majorTickMark val="out"/>
        <c:minorTickMark val="none"/>
        <c:tickLblPos val="nextTo"/>
        <c:crossAx val="5484207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'KPI''S'!$B$48</c:f>
              <c:strCache>
                <c:ptCount val="1"/>
                <c:pt idx="0">
                  <c:v>Total</c:v>
                </c:pt>
              </c:strCache>
            </c:strRef>
          </c:tx>
          <c:spPr>
            <a:solidFill>
              <a:schemeClr val="accent1"/>
            </a:solidFill>
            <a:ln>
              <a:noFill/>
            </a:ln>
            <a:effectLst/>
          </c:spPr>
          <c:invertIfNegative val="0"/>
          <c:cat>
            <c:strRef>
              <c:f>'KPI''S'!$A$49:$A$51</c:f>
              <c:strCache>
                <c:ptCount val="3"/>
                <c:pt idx="0">
                  <c:v>High</c:v>
                </c:pt>
                <c:pt idx="1">
                  <c:v>Low</c:v>
                </c:pt>
                <c:pt idx="2">
                  <c:v>Medium</c:v>
                </c:pt>
              </c:strCache>
            </c:strRef>
          </c:cat>
          <c:val>
            <c:numRef>
              <c:f>'KPI''S'!$B$49:$B$51</c:f>
              <c:numCache>
                <c:formatCode>0.0</c:formatCode>
                <c:ptCount val="3"/>
                <c:pt idx="0">
                  <c:v>7.2173170731707321</c:v>
                </c:pt>
                <c:pt idx="1">
                  <c:v>7.0781818181818181</c:v>
                </c:pt>
                <c:pt idx="2">
                  <c:v>6.9993243243243253</c:v>
                </c:pt>
              </c:numCache>
            </c:numRef>
          </c:val>
          <c:extLst>
            <c:ext xmlns:c16="http://schemas.microsoft.com/office/drawing/2014/chart" uri="{C3380CC4-5D6E-409C-BE32-E72D297353CC}">
              <c16:uniqueId val="{00000000-A752-471C-9F78-A8CCE1667D5E}"/>
            </c:ext>
          </c:extLst>
        </c:ser>
        <c:dLbls>
          <c:showLegendKey val="0"/>
          <c:showVal val="0"/>
          <c:showCatName val="0"/>
          <c:showSerName val="0"/>
          <c:showPercent val="0"/>
          <c:showBubbleSize val="0"/>
        </c:dLbls>
        <c:gapWidth val="219"/>
        <c:overlap val="-27"/>
        <c:axId val="367332208"/>
        <c:axId val="367352368"/>
      </c:barChart>
      <c:catAx>
        <c:axId val="367332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52368"/>
        <c:crosses val="autoZero"/>
        <c:auto val="1"/>
        <c:lblAlgn val="ctr"/>
        <c:lblOffset val="100"/>
        <c:noMultiLvlLbl val="0"/>
      </c:catAx>
      <c:valAx>
        <c:axId val="367352368"/>
        <c:scaling>
          <c:orientation val="minMax"/>
        </c:scaling>
        <c:delete val="1"/>
        <c:axPos val="l"/>
        <c:numFmt formatCode="0.0" sourceLinked="1"/>
        <c:majorTickMark val="none"/>
        <c:minorTickMark val="none"/>
        <c:tickLblPos val="nextTo"/>
        <c:crossAx val="3673322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'KPI''S'!$A$19:$A$21</c:f>
              <c:strCache>
                <c:ptCount val="3"/>
                <c:pt idx="0">
                  <c:v>High</c:v>
                </c:pt>
                <c:pt idx="1">
                  <c:v>Low</c:v>
                </c:pt>
                <c:pt idx="2">
                  <c:v>Medium</c:v>
                </c:pt>
              </c:strCache>
            </c:strRef>
          </c:cat>
          <c:val>
            <c:numRef>
              <c:f>'KPI''S'!$B$19:$B$21</c:f>
              <c:numCache>
                <c:formatCode>General</c:formatCode>
                <c:ptCount val="3"/>
                <c:pt idx="0">
                  <c:v>6.955454545454546</c:v>
                </c:pt>
                <c:pt idx="1">
                  <c:v>7.2215476190476178</c:v>
                </c:pt>
                <c:pt idx="2">
                  <c:v>7.0827868852458993</c:v>
                </c:pt>
              </c:numCache>
            </c:numRef>
          </c:val>
          <c:extLst>
            <c:ext xmlns:c16="http://schemas.microsoft.com/office/drawing/2014/chart" uri="{C3380CC4-5D6E-409C-BE32-E72D297353CC}">
              <c16:uniqueId val="{00000000-744F-4727-8E69-B2E92949F6A6}"/>
            </c:ext>
          </c:extLst>
        </c:ser>
        <c:dLbls>
          <c:showLegendKey val="0"/>
          <c:showVal val="0"/>
          <c:showCatName val="0"/>
          <c:showSerName val="0"/>
          <c:showPercent val="0"/>
          <c:showBubbleSize val="0"/>
        </c:dLbls>
        <c:gapWidth val="150"/>
        <c:overlap val="100"/>
        <c:axId val="375310064"/>
        <c:axId val="293504960"/>
      </c:barChart>
      <c:catAx>
        <c:axId val="375310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3504960"/>
        <c:crosses val="autoZero"/>
        <c:auto val="1"/>
        <c:lblAlgn val="ctr"/>
        <c:lblOffset val="100"/>
        <c:noMultiLvlLbl val="0"/>
      </c:catAx>
      <c:valAx>
        <c:axId val="293504960"/>
        <c:scaling>
          <c:orientation val="minMax"/>
        </c:scaling>
        <c:delete val="1"/>
        <c:axPos val="l"/>
        <c:numFmt formatCode="General" sourceLinked="1"/>
        <c:majorTickMark val="none"/>
        <c:minorTickMark val="none"/>
        <c:tickLblPos val="nextTo"/>
        <c:crossAx val="3753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71586370976881E-2"/>
          <c:y val="0.14734269109424949"/>
          <c:w val="0.81067980636107584"/>
          <c:h val="0.60588091480464912"/>
        </c:manualLayout>
      </c:layout>
      <c:barChart>
        <c:barDir val="col"/>
        <c:grouping val="clustered"/>
        <c:varyColors val="0"/>
        <c:ser>
          <c:idx val="0"/>
          <c:order val="0"/>
          <c:tx>
            <c:strRef>
              <c:f>'KPI''S'!$B$1</c:f>
              <c:strCache>
                <c:ptCount val="1"/>
                <c:pt idx="0">
                  <c:v>Total</c:v>
                </c:pt>
              </c:strCache>
            </c:strRef>
          </c:tx>
          <c:spPr>
            <a:solidFill>
              <a:schemeClr val="accent1"/>
            </a:solidFill>
            <a:ln>
              <a:noFill/>
            </a:ln>
            <a:effectLst/>
          </c:spPr>
          <c:invertIfNegative val="0"/>
          <c:cat>
            <c:strRef>
              <c:f>'KPI''S'!$A$2:$A$4</c:f>
              <c:strCache>
                <c:ptCount val="3"/>
                <c:pt idx="0">
                  <c:v>Average</c:v>
                </c:pt>
                <c:pt idx="1">
                  <c:v>Good</c:v>
                </c:pt>
                <c:pt idx="2">
                  <c:v>Poor</c:v>
                </c:pt>
              </c:strCache>
            </c:strRef>
          </c:cat>
          <c:val>
            <c:numRef>
              <c:f>'KPI''S'!$B$2:$B$4</c:f>
              <c:numCache>
                <c:formatCode>General</c:formatCode>
                <c:ptCount val="3"/>
                <c:pt idx="0">
                  <c:v>81</c:v>
                </c:pt>
                <c:pt idx="1">
                  <c:v>65</c:v>
                </c:pt>
                <c:pt idx="2">
                  <c:v>54</c:v>
                </c:pt>
              </c:numCache>
            </c:numRef>
          </c:val>
          <c:extLst>
            <c:ext xmlns:c16="http://schemas.microsoft.com/office/drawing/2014/chart" uri="{C3380CC4-5D6E-409C-BE32-E72D297353CC}">
              <c16:uniqueId val="{00000000-BF00-48CA-B2CF-3699B395E3B8}"/>
            </c:ext>
          </c:extLst>
        </c:ser>
        <c:dLbls>
          <c:showLegendKey val="0"/>
          <c:showVal val="0"/>
          <c:showCatName val="0"/>
          <c:showSerName val="0"/>
          <c:showPercent val="0"/>
          <c:showBubbleSize val="0"/>
        </c:dLbls>
        <c:gapWidth val="219"/>
        <c:overlap val="-27"/>
        <c:axId val="548420799"/>
        <c:axId val="1309084319"/>
      </c:barChart>
      <c:catAx>
        <c:axId val="54842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84319"/>
        <c:crosses val="autoZero"/>
        <c:auto val="1"/>
        <c:lblAlgn val="ctr"/>
        <c:lblOffset val="100"/>
        <c:noMultiLvlLbl val="0"/>
      </c:catAx>
      <c:valAx>
        <c:axId val="1309084319"/>
        <c:scaling>
          <c:orientation val="minMax"/>
        </c:scaling>
        <c:delete val="1"/>
        <c:axPos val="l"/>
        <c:numFmt formatCode="General" sourceLinked="1"/>
        <c:majorTickMark val="out"/>
        <c:minorTickMark val="none"/>
        <c:tickLblPos val="nextTo"/>
        <c:crossAx val="5484207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'KPI''S'!$B$18</c:f>
              <c:strCache>
                <c:ptCount val="1"/>
                <c:pt idx="0">
                  <c:v>Total</c:v>
                </c:pt>
              </c:strCache>
            </c:strRef>
          </c:tx>
          <c:spPr>
            <a:solidFill>
              <a:schemeClr val="accent1"/>
            </a:solidFill>
            <a:ln>
              <a:noFill/>
            </a:ln>
            <a:effectLst/>
          </c:spPr>
          <c:invertIfNegative val="0"/>
          <c:cat>
            <c:strRef>
              <c:f>'KPI''S'!$A$19:$A$21</c:f>
              <c:strCache>
                <c:ptCount val="3"/>
                <c:pt idx="0">
                  <c:v>High</c:v>
                </c:pt>
                <c:pt idx="1">
                  <c:v>Low</c:v>
                </c:pt>
                <c:pt idx="2">
                  <c:v>Medium</c:v>
                </c:pt>
              </c:strCache>
            </c:strRef>
          </c:cat>
          <c:val>
            <c:numRef>
              <c:f>'KPI''S'!$B$19:$B$21</c:f>
              <c:numCache>
                <c:formatCode>General</c:formatCode>
                <c:ptCount val="3"/>
                <c:pt idx="0">
                  <c:v>6.955454545454546</c:v>
                </c:pt>
                <c:pt idx="1">
                  <c:v>7.2215476190476178</c:v>
                </c:pt>
                <c:pt idx="2">
                  <c:v>7.0827868852458993</c:v>
                </c:pt>
              </c:numCache>
            </c:numRef>
          </c:val>
          <c:extLst>
            <c:ext xmlns:c16="http://schemas.microsoft.com/office/drawing/2014/chart" uri="{C3380CC4-5D6E-409C-BE32-E72D297353CC}">
              <c16:uniqueId val="{00000000-AB85-442C-89E7-5F7327C0B984}"/>
            </c:ext>
          </c:extLst>
        </c:ser>
        <c:dLbls>
          <c:showLegendKey val="0"/>
          <c:showVal val="0"/>
          <c:showCatName val="0"/>
          <c:showSerName val="0"/>
          <c:showPercent val="0"/>
          <c:showBubbleSize val="0"/>
        </c:dLbls>
        <c:gapWidth val="150"/>
        <c:overlap val="100"/>
        <c:axId val="375310064"/>
        <c:axId val="293504960"/>
      </c:barChart>
      <c:catAx>
        <c:axId val="37531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504960"/>
        <c:crosses val="autoZero"/>
        <c:auto val="1"/>
        <c:lblAlgn val="ctr"/>
        <c:lblOffset val="100"/>
        <c:noMultiLvlLbl val="0"/>
      </c:catAx>
      <c:valAx>
        <c:axId val="293504960"/>
        <c:scaling>
          <c:orientation val="minMax"/>
        </c:scaling>
        <c:delete val="1"/>
        <c:axPos val="l"/>
        <c:numFmt formatCode="General" sourceLinked="1"/>
        <c:majorTickMark val="none"/>
        <c:minorTickMark val="none"/>
        <c:tickLblPos val="nextTo"/>
        <c:crossAx val="3753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'KPI''S'!$B$31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ED-43D5-B0FA-BC42FF1A57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4ED-43D5-B0FA-BC42FF1A57A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4ED-43D5-B0FA-BC42FF1A57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'KPI''S'!$A$32:$A$34</c:f>
              <c:strCache>
                <c:ptCount val="3"/>
                <c:pt idx="0">
                  <c:v>Average</c:v>
                </c:pt>
                <c:pt idx="1">
                  <c:v>Good</c:v>
                </c:pt>
                <c:pt idx="2">
                  <c:v>Poor</c:v>
                </c:pt>
              </c:strCache>
            </c:strRef>
          </c:cat>
          <c:val>
            <c:numRef>
              <c:f>'KPI''S'!$B$32:$B$34</c:f>
              <c:numCache>
                <c:formatCode>0</c:formatCode>
                <c:ptCount val="3"/>
                <c:pt idx="0">
                  <c:v>72.620987654320999</c:v>
                </c:pt>
                <c:pt idx="1">
                  <c:v>75.616923076923058</c:v>
                </c:pt>
                <c:pt idx="2">
                  <c:v>73.779629629629625</c:v>
                </c:pt>
              </c:numCache>
            </c:numRef>
          </c:val>
          <c:extLst>
            <c:ext xmlns:c16="http://schemas.microsoft.com/office/drawing/2014/chart" uri="{C3380CC4-5D6E-409C-BE32-E72D297353CC}">
              <c16:uniqueId val="{00000006-4C12-4A64-B6E0-E78E0B1F90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life.xlsx]KPI'S!PivotTable7</c:name>
    <c:fmtId val="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'KPI''S'!$B$48</c:f>
              <c:strCache>
                <c:ptCount val="1"/>
                <c:pt idx="0">
                  <c:v>Total</c:v>
                </c:pt>
              </c:strCache>
            </c:strRef>
          </c:tx>
          <c:spPr>
            <a:solidFill>
              <a:schemeClr val="accent1"/>
            </a:solidFill>
            <a:ln>
              <a:noFill/>
            </a:ln>
            <a:effectLst/>
          </c:spPr>
          <c:invertIfNegative val="0"/>
          <c:cat>
            <c:strRef>
              <c:f>'KPI''S'!$A$49:$A$51</c:f>
              <c:strCache>
                <c:ptCount val="3"/>
                <c:pt idx="0">
                  <c:v>High</c:v>
                </c:pt>
                <c:pt idx="1">
                  <c:v>Low</c:v>
                </c:pt>
                <c:pt idx="2">
                  <c:v>Medium</c:v>
                </c:pt>
              </c:strCache>
            </c:strRef>
          </c:cat>
          <c:val>
            <c:numRef>
              <c:f>'KPI''S'!$B$49:$B$51</c:f>
              <c:numCache>
                <c:formatCode>0.0</c:formatCode>
                <c:ptCount val="3"/>
                <c:pt idx="0">
                  <c:v>7.2173170731707321</c:v>
                </c:pt>
                <c:pt idx="1">
                  <c:v>7.0781818181818181</c:v>
                </c:pt>
                <c:pt idx="2">
                  <c:v>6.9993243243243253</c:v>
                </c:pt>
              </c:numCache>
            </c:numRef>
          </c:val>
          <c:extLst>
            <c:ext xmlns:c16="http://schemas.microsoft.com/office/drawing/2014/chart" uri="{C3380CC4-5D6E-409C-BE32-E72D297353CC}">
              <c16:uniqueId val="{00000000-C940-4FC0-B0D2-D2494AA63D0A}"/>
            </c:ext>
          </c:extLst>
        </c:ser>
        <c:dLbls>
          <c:showLegendKey val="0"/>
          <c:showVal val="0"/>
          <c:showCatName val="0"/>
          <c:showSerName val="0"/>
          <c:showPercent val="0"/>
          <c:showBubbleSize val="0"/>
        </c:dLbls>
        <c:gapWidth val="182"/>
        <c:axId val="367332208"/>
        <c:axId val="367352368"/>
      </c:barChart>
      <c:catAx>
        <c:axId val="36733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52368"/>
        <c:crosses val="autoZero"/>
        <c:auto val="1"/>
        <c:lblAlgn val="ctr"/>
        <c:lblOffset val="100"/>
        <c:noMultiLvlLbl val="0"/>
      </c:catAx>
      <c:valAx>
        <c:axId val="3673523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3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485774</xdr:colOff>
      <xdr:row>0</xdr:row>
      <xdr:rowOff>47624</xdr:rowOff>
    </xdr:from>
    <xdr:to>
      <xdr:col>18</xdr:col>
      <xdr:colOff>57150</xdr:colOff>
      <xdr:row>21</xdr:row>
      <xdr:rowOff>152400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924174" y="47624"/>
          <a:ext cx="8105776" cy="4105276"/>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90000"/>
              </a:schemeClr>
            </a:solidFill>
          </a:endParaRPr>
        </a:p>
      </xdr:txBody>
    </xdr:sp>
    <xdr:clientData/>
  </xdr:twoCellAnchor>
  <xdr:twoCellAnchor>
    <xdr:from>
      <xdr:col>4</xdr:col>
      <xdr:colOff>495299</xdr:colOff>
      <xdr:row>0</xdr:row>
      <xdr:rowOff>142875</xdr:rowOff>
    </xdr:from>
    <xdr:to>
      <xdr:col>17</xdr:col>
      <xdr:colOff>590550</xdr:colOff>
      <xdr:row>6</xdr:row>
      <xdr:rowOff>85725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933699" y="142875"/>
          <a:ext cx="8020051" cy="108585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chemeClr val="bg1"/>
            </a:solidFill>
          </a:endParaRPr>
        </a:p>
      </xdr:txBody>
    </xdr:sp>
    <xdr:clientData/>
  </xdr:twoCellAnchor>
  <xdr:twoCellAnchor>
    <xdr:from>
      <xdr:col>4</xdr:col>
      <xdr:colOff>495299</xdr:colOff>
      <xdr:row>6</xdr:row>
      <xdr:rowOff>114301</xdr:rowOff>
    </xdr:from>
    <xdr:to>
      <xdr:col>9</xdr:col>
      <xdr:colOff>542925</xdr:colOff>
      <xdr:row>21</xdr:row>
      <xdr:rowOff>133351</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2933699" y="1257301"/>
          <a:ext cx="3095626" cy="28765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542924</xdr:colOff>
      <xdr:row>6</xdr:row>
      <xdr:rowOff>114301</xdr:rowOff>
    </xdr:from>
    <xdr:to>
      <xdr:col>17</xdr:col>
      <xdr:colOff>590550</xdr:colOff>
      <xdr:row>21</xdr:row>
      <xdr:rowOff>133351</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7858124" y="1257301"/>
          <a:ext cx="3095626" cy="28765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447676</xdr:colOff>
      <xdr:row>11</xdr:row>
      <xdr:rowOff>0</xdr:rowOff>
    </xdr:from>
    <xdr:to>
      <xdr:col>13</xdr:col>
      <xdr:colOff>19049</xdr:colOff>
      <xdr:row>18</xdr:row>
      <xdr:rowOff>0</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5934076" y="2095500"/>
          <a:ext cx="2009773" cy="1333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495299</xdr:colOff>
      <xdr:row>14</xdr:row>
      <xdr:rowOff>28576</xdr:rowOff>
    </xdr:from>
    <xdr:to>
      <xdr:col>9</xdr:col>
      <xdr:colOff>542925</xdr:colOff>
      <xdr:row>14</xdr:row>
      <xdr:rowOff>28576</xdr:rowOff>
    </xdr:to>
    <xdr:cxnSp macro="">
      <xdr:nvCxnSpPr>
        <xdr:cNvPr id="5" name="Straight Connector 4">
          <a:extLst>
            <a:ext uri="{FF2B5EF4-FFF2-40B4-BE49-F238E27FC236}">
              <a16:creationId xmlns:a16="http://schemas.microsoft.com/office/drawing/2014/main" id="{00000000-0008-0000-0200-000005000000}"/>
            </a:ext>
          </a:extLst>
        </xdr:cNvPr>
        <xdr:cNvCxnSpPr>
          <a:stCxn id="6" idx="1"/>
          <a:endCxn id="6" idx="3"/>
        </xdr:cNvCxnSpPr>
      </xdr:nvCxnSpPr>
      <xdr:spPr>
        <a:xfrm>
          <a:off x="2933699" y="2695576"/>
          <a:ext cx="309562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7</xdr:row>
      <xdr:rowOff>190499</xdr:rowOff>
    </xdr:from>
    <xdr:to>
      <xdr:col>9</xdr:col>
      <xdr:colOff>390525</xdr:colOff>
      <xdr:row>14</xdr:row>
      <xdr:rowOff>57150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47625</xdr:colOff>
      <xdr:row>6</xdr:row>
      <xdr:rowOff>123824</xdr:rowOff>
    </xdr:from>
    <xdr:ext cx="2771775" cy="233205"/>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3095625" y="1266824"/>
          <a:ext cx="2771775" cy="23320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274320" rtlCol="0" anchor="t">
          <a:noAutofit/>
        </a:bodyPr>
        <a:lstStyle/>
        <a:p>
          <a:r>
            <a:rPr lang="en-US" sz="900" kern="1200">
              <a:solidFill>
                <a:schemeClr val="accent1"/>
              </a:solidFill>
              <a:effectLst>
                <a:outerShdw blurRad="50800" dist="38100" dir="8100000" algn="tr" rotWithShape="0">
                  <a:prstClr val="black">
                    <a:alpha val="40000"/>
                  </a:prstClr>
                </a:outerShdw>
              </a:effectLst>
            </a:rPr>
            <a:t>EFFECT</a:t>
          </a:r>
          <a:r>
            <a:rPr lang="en-US" sz="900" kern="1200" baseline="0">
              <a:solidFill>
                <a:schemeClr val="accent1"/>
              </a:solidFill>
              <a:effectLst>
                <a:outerShdw blurRad="50800" dist="38100" dir="8100000" algn="tr" rotWithShape="0">
                  <a:prstClr val="black">
                    <a:alpha val="40000"/>
                  </a:prstClr>
                </a:outerShdw>
              </a:effectLst>
            </a:rPr>
            <a:t> OF INTERNET QUALITY ON </a:t>
          </a:r>
          <a:r>
            <a:rPr lang="en-US" sz="900" kern="1200" baseline="0">
              <a:solidFill>
                <a:schemeClr val="accent1"/>
              </a:solidFill>
              <a:effectLst>
                <a:outerShdw blurRad="50800" dist="38100" dir="8100000" sx="96000" sy="96000" algn="tr" rotWithShape="0">
                  <a:prstClr val="black">
                    <a:alpha val="40000"/>
                  </a:prstClr>
                </a:outerShdw>
              </a:effectLst>
            </a:rPr>
            <a:t>ATTENDANCE</a:t>
          </a:r>
          <a:endParaRPr lang="en-US" sz="900" kern="1200">
            <a:solidFill>
              <a:schemeClr val="accent1"/>
            </a:solidFill>
            <a:effectLst>
              <a:outerShdw blurRad="50800" dist="38100" dir="8100000" sx="96000" sy="96000" algn="tr" rotWithShape="0">
                <a:prstClr val="black">
                  <a:alpha val="40000"/>
                </a:prstClr>
              </a:outerShdw>
            </a:effectLst>
          </a:endParaRPr>
        </a:p>
      </xdr:txBody>
    </xdr:sp>
    <xdr:clientData/>
  </xdr:oneCellAnchor>
  <xdr:twoCellAnchor>
    <xdr:from>
      <xdr:col>13</xdr:col>
      <xdr:colOff>19049</xdr:colOff>
      <xdr:row>7</xdr:row>
      <xdr:rowOff>114301</xdr:rowOff>
    </xdr:from>
    <xdr:to>
      <xdr:col>17</xdr:col>
      <xdr:colOff>466723</xdr:colOff>
      <xdr:row>14</xdr:row>
      <xdr:rowOff>0</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485145</xdr:colOff>
      <xdr:row>6</xdr:row>
      <xdr:rowOff>138272</xdr:rowOff>
    </xdr:from>
    <xdr:ext cx="2067554" cy="233205"/>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8409945" y="1281272"/>
          <a:ext cx="2067554" cy="23320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accent1"/>
              </a:solidFill>
              <a:effectLst>
                <a:outerShdw blurRad="50800" dist="38100" dir="8100000" algn="tr" rotWithShape="0">
                  <a:srgbClr val="000000">
                    <a:alpha val="40000"/>
                  </a:srgbClr>
                </a:outerShdw>
              </a:effectLst>
              <a:latin typeface="+mn-lt"/>
              <a:ea typeface="+mn-ea"/>
              <a:cs typeface="+mn-cs"/>
            </a:rPr>
            <a:t>EFFECT</a:t>
          </a:r>
          <a:r>
            <a:rPr lang="en-US" sz="900" baseline="0">
              <a:solidFill>
                <a:schemeClr val="accent1"/>
              </a:solidFill>
              <a:effectLst>
                <a:outerShdw blurRad="50800" dist="38100" dir="8100000" algn="tr" rotWithShape="0">
                  <a:srgbClr val="000000">
                    <a:alpha val="40000"/>
                  </a:srgbClr>
                </a:outerShdw>
              </a:effectLst>
              <a:latin typeface="+mn-lt"/>
              <a:ea typeface="+mn-ea"/>
              <a:cs typeface="+mn-cs"/>
            </a:rPr>
            <a:t> OF INTERNET QUALITY ON </a:t>
          </a:r>
          <a:r>
            <a:rPr lang="en-US" sz="900" baseline="0">
              <a:solidFill>
                <a:schemeClr val="accent1"/>
              </a:solidFill>
              <a:effectLst>
                <a:outerShdw blurRad="50800" dist="38100" dir="8100000" sx="96000" sy="96000" algn="tr" rotWithShape="0">
                  <a:srgbClr val="000000">
                    <a:alpha val="40000"/>
                  </a:srgbClr>
                </a:outerShdw>
              </a:effectLst>
              <a:latin typeface="+mn-lt"/>
              <a:ea typeface="+mn-ea"/>
              <a:cs typeface="+mn-cs"/>
            </a:rPr>
            <a:t>CGPA</a:t>
          </a:r>
          <a:endParaRPr lang="en-US" sz="900">
            <a:solidFill>
              <a:schemeClr val="accent1"/>
            </a:solidFill>
            <a:effectLst/>
          </a:endParaRPr>
        </a:p>
      </xdr:txBody>
    </xdr:sp>
    <xdr:clientData/>
  </xdr:oneCellAnchor>
  <xdr:twoCellAnchor>
    <xdr:from>
      <xdr:col>5</xdr:col>
      <xdr:colOff>9526</xdr:colOff>
      <xdr:row>14</xdr:row>
      <xdr:rowOff>142875</xdr:rowOff>
    </xdr:from>
    <xdr:to>
      <xdr:col>9</xdr:col>
      <xdr:colOff>447676</xdr:colOff>
      <xdr:row>21</xdr:row>
      <xdr:rowOff>71438</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495300</xdr:colOff>
      <xdr:row>14</xdr:row>
      <xdr:rowOff>38100</xdr:rowOff>
    </xdr:from>
    <xdr:ext cx="1762125" cy="200026"/>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3543300" y="2705100"/>
          <a:ext cx="1762125" cy="20002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accent1"/>
              </a:solidFill>
              <a:effectLst>
                <a:outerShdw blurRad="50800" dist="38100" dir="8100000" algn="tr" rotWithShape="0">
                  <a:srgbClr val="000000">
                    <a:alpha val="40000"/>
                  </a:srgbClr>
                </a:outerShdw>
              </a:effectLst>
              <a:latin typeface="+mn-lt"/>
              <a:ea typeface="+mn-ea"/>
              <a:cs typeface="+mn-cs"/>
            </a:rPr>
            <a:t>EFFECT</a:t>
          </a:r>
          <a:r>
            <a:rPr lang="en-US" sz="900" baseline="0">
              <a:solidFill>
                <a:schemeClr val="accent1"/>
              </a:solidFill>
              <a:effectLst>
                <a:outerShdw blurRad="50800" dist="38100" dir="8100000" algn="tr" rotWithShape="0">
                  <a:srgbClr val="000000">
                    <a:alpha val="40000"/>
                  </a:srgbClr>
                </a:outerShdw>
              </a:effectLst>
              <a:latin typeface="+mn-lt"/>
              <a:ea typeface="+mn-ea"/>
              <a:cs typeface="+mn-cs"/>
            </a:rPr>
            <a:t> OF ATTENDANCE ON </a:t>
          </a:r>
          <a:r>
            <a:rPr lang="en-US" sz="900" baseline="0">
              <a:solidFill>
                <a:schemeClr val="accent1"/>
              </a:solidFill>
              <a:effectLst>
                <a:outerShdw blurRad="50800" dist="38100" dir="8100000" sx="96000" sy="96000" algn="tr" rotWithShape="0">
                  <a:srgbClr val="000000">
                    <a:alpha val="40000"/>
                  </a:srgbClr>
                </a:outerShdw>
              </a:effectLst>
              <a:latin typeface="+mn-lt"/>
              <a:ea typeface="+mn-ea"/>
              <a:cs typeface="+mn-cs"/>
            </a:rPr>
            <a:t>CGPA</a:t>
          </a:r>
          <a:endParaRPr lang="en-US" sz="900">
            <a:solidFill>
              <a:schemeClr val="accent1"/>
            </a:solidFill>
            <a:effectLst/>
          </a:endParaRPr>
        </a:p>
        <a:p>
          <a:endParaRPr lang="en-US" sz="900" kern="1200">
            <a:solidFill>
              <a:schemeClr val="accent1"/>
            </a:solidFill>
          </a:endParaRPr>
        </a:p>
      </xdr:txBody>
    </xdr:sp>
    <xdr:clientData/>
  </xdr:oneCellAnchor>
  <xdr:twoCellAnchor>
    <xdr:from>
      <xdr:col>13</xdr:col>
      <xdr:colOff>19049</xdr:colOff>
      <xdr:row>14</xdr:row>
      <xdr:rowOff>114299</xdr:rowOff>
    </xdr:from>
    <xdr:to>
      <xdr:col>17</xdr:col>
      <xdr:colOff>514349</xdr:colOff>
      <xdr:row>21</xdr:row>
      <xdr:rowOff>71438</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14</xdr:col>
      <xdr:colOff>133351</xdr:colOff>
      <xdr:row>14</xdr:row>
      <xdr:rowOff>47626</xdr:rowOff>
    </xdr:from>
    <xdr:ext cx="1695449" cy="233205"/>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8667751" y="2714626"/>
          <a:ext cx="1695449" cy="233205"/>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chemeClr val="accent1"/>
              </a:solidFill>
              <a:effectLst>
                <a:outerShdw blurRad="50800" dist="38100" dir="8100000" algn="tr" rotWithShape="0">
                  <a:srgbClr val="000000">
                    <a:alpha val="40000"/>
                  </a:srgbClr>
                </a:outerShdw>
              </a:effectLst>
              <a:latin typeface="+mn-lt"/>
              <a:ea typeface="+mn-ea"/>
              <a:cs typeface="+mn-cs"/>
            </a:rPr>
            <a:t>EFFECT</a:t>
          </a:r>
          <a:r>
            <a:rPr lang="en-US" sz="900" baseline="0">
              <a:solidFill>
                <a:schemeClr val="accent1"/>
              </a:solidFill>
              <a:effectLst>
                <a:outerShdw blurRad="50800" dist="38100" dir="8100000" algn="tr" rotWithShape="0">
                  <a:srgbClr val="000000">
                    <a:alpha val="40000"/>
                  </a:srgbClr>
                </a:outerShdw>
              </a:effectLst>
              <a:latin typeface="+mn-lt"/>
              <a:ea typeface="+mn-ea"/>
              <a:cs typeface="+mn-cs"/>
            </a:rPr>
            <a:t> OF BURN OUT ON </a:t>
          </a:r>
          <a:r>
            <a:rPr lang="en-US" sz="900" baseline="0">
              <a:solidFill>
                <a:schemeClr val="accent1"/>
              </a:solidFill>
              <a:effectLst>
                <a:outerShdw blurRad="50800" dist="38100" dir="8100000" sx="96000" sy="96000" algn="tr" rotWithShape="0">
                  <a:srgbClr val="000000">
                    <a:alpha val="40000"/>
                  </a:srgbClr>
                </a:outerShdw>
              </a:effectLst>
              <a:latin typeface="+mn-lt"/>
              <a:ea typeface="+mn-ea"/>
              <a:cs typeface="+mn-cs"/>
            </a:rPr>
            <a:t>CGPA</a:t>
          </a:r>
          <a:endParaRPr lang="en-US" sz="900">
            <a:solidFill>
              <a:schemeClr val="accent1"/>
            </a:solidFill>
            <a:effectLst/>
          </a:endParaRPr>
        </a:p>
      </xdr:txBody>
    </xdr:sp>
    <xdr:clientData/>
  </xdr:oneCellAnchor>
  <xdr:twoCellAnchor editAs="oneCell">
    <xdr:from>
      <xdr:col>11</xdr:col>
      <xdr:colOff>28575</xdr:colOff>
      <xdr:row>0</xdr:row>
      <xdr:rowOff>171450</xdr:rowOff>
    </xdr:from>
    <xdr:to>
      <xdr:col>14</xdr:col>
      <xdr:colOff>209550</xdr:colOff>
      <xdr:row>6</xdr:row>
      <xdr:rowOff>66676</xdr:rowOff>
    </xdr:to>
    <mc:AlternateContent xmlns:mc="http://schemas.openxmlformats.org/markup-compatibility/2006" xmlns:a14="http://schemas.microsoft.com/office/drawing/2010/main">
      <mc:Choice Requires="a14">
        <xdr:graphicFrame macro="">
          <xdr:nvGraphicFramePr>
            <xdr:cNvPr id="20" name="internet_quality">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internet_quality"/>
            </a:graphicData>
          </a:graphic>
        </xdr:graphicFrame>
      </mc:Choice>
      <mc:Fallback xmlns="">
        <xdr:sp macro="" textlink="">
          <xdr:nvSpPr>
            <xdr:cNvPr id="0" name=""/>
            <xdr:cNvSpPr>
              <a:spLocks noTextEdit="1"/>
            </xdr:cNvSpPr>
          </xdr:nvSpPr>
          <xdr:spPr>
            <a:xfrm>
              <a:off x="6734175" y="171450"/>
              <a:ext cx="2009775" cy="1038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295275</xdr:colOff>
      <xdr:row>0</xdr:row>
      <xdr:rowOff>171449</xdr:rowOff>
    </xdr:from>
    <xdr:to>
      <xdr:col>17</xdr:col>
      <xdr:colOff>590550</xdr:colOff>
      <xdr:row>6</xdr:row>
      <xdr:rowOff>66674</xdr:rowOff>
    </xdr:to>
    <mc:AlternateContent xmlns:mc="http://schemas.openxmlformats.org/markup-compatibility/2006" xmlns:a14="http://schemas.microsoft.com/office/drawing/2010/main">
      <mc:Choice Requires="a14">
        <xdr:graphicFrame macro="">
          <xdr:nvGraphicFramePr>
            <xdr:cNvPr id="22" name="Att Grades">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tt Grades"/>
            </a:graphicData>
          </a:graphic>
        </xdr:graphicFrame>
      </mc:Choice>
      <mc:Fallback xmlns="">
        <xdr:sp macro="" textlink="">
          <xdr:nvSpPr>
            <xdr:cNvPr id="0" name=""/>
            <xdr:cNvSpPr>
              <a:spLocks noTextEdit="1"/>
            </xdr:cNvSpPr>
          </xdr:nvSpPr>
          <xdr:spPr>
            <a:xfrm>
              <a:off x="8829675" y="171449"/>
              <a:ext cx="212407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304800</xdr:colOff>
      <xdr:row>0</xdr:row>
      <xdr:rowOff>180976</xdr:rowOff>
    </xdr:from>
    <xdr:to>
      <xdr:col>11</xdr:col>
      <xdr:colOff>1</xdr:colOff>
      <xdr:row>6</xdr:row>
      <xdr:rowOff>57151</xdr:rowOff>
    </xdr:to>
    <xdr:sp macro="" textlink="">
      <xdr:nvSpPr>
        <xdr:cNvPr id="34" name="Rectangle: Diagonal Corners Rounded 33">
          <a:extLst>
            <a:ext uri="{FF2B5EF4-FFF2-40B4-BE49-F238E27FC236}">
              <a16:creationId xmlns:a16="http://schemas.microsoft.com/office/drawing/2014/main" id="{00000000-0008-0000-0200-000022000000}"/>
            </a:ext>
          </a:extLst>
        </xdr:cNvPr>
        <xdr:cNvSpPr/>
      </xdr:nvSpPr>
      <xdr:spPr>
        <a:xfrm>
          <a:off x="3962400" y="180976"/>
          <a:ext cx="2743201" cy="101917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kern="1200">
              <a:solidFill>
                <a:schemeClr val="accent4">
                  <a:lumMod val="60000"/>
                  <a:lumOff val="40000"/>
                </a:schemeClr>
              </a:solidFill>
              <a:latin typeface="Algerian" panose="04020705040A02060702" pitchFamily="82" charset="0"/>
            </a:rPr>
            <a:t>STUDENTS PERFORMANCES</a:t>
          </a:r>
          <a:endParaRPr lang="en-US" sz="1400" b="1" kern="1200" baseline="0">
            <a:solidFill>
              <a:schemeClr val="accent4">
                <a:lumMod val="60000"/>
                <a:lumOff val="40000"/>
              </a:schemeClr>
            </a:solidFill>
            <a:latin typeface="Algerian" panose="04020705040A02060702" pitchFamily="82" charset="0"/>
          </a:endParaRPr>
        </a:p>
        <a:p>
          <a:pPr algn="ctr"/>
          <a:endParaRPr lang="en-US" sz="1400" b="1" kern="1200" baseline="0">
            <a:solidFill>
              <a:schemeClr val="accent4">
                <a:lumMod val="60000"/>
                <a:lumOff val="40000"/>
              </a:schemeClr>
            </a:solidFill>
            <a:latin typeface="Algerian" panose="04020705040A02060702" pitchFamily="82" charset="0"/>
          </a:endParaRPr>
        </a:p>
        <a:p>
          <a:pPr algn="ctr"/>
          <a:r>
            <a:rPr lang="en-US" sz="1400" b="1" kern="1200" baseline="0">
              <a:solidFill>
                <a:schemeClr val="accent4">
                  <a:lumMod val="60000"/>
                  <a:lumOff val="40000"/>
                </a:schemeClr>
              </a:solidFill>
              <a:latin typeface="Algerian" panose="04020705040A02060702" pitchFamily="82" charset="0"/>
            </a:rPr>
            <a:t>ANALYTICS DASHBOARD</a:t>
          </a:r>
          <a:endParaRPr lang="en-US" sz="1400" b="1" kern="1200">
            <a:solidFill>
              <a:schemeClr val="accent4">
                <a:lumMod val="60000"/>
                <a:lumOff val="40000"/>
              </a:schemeClr>
            </a:solidFill>
            <a:latin typeface="Algerian" panose="04020705040A02060702" pitchFamily="82" charset="0"/>
          </a:endParaRPr>
        </a:p>
      </xdr:txBody>
    </xdr:sp>
    <xdr:clientData/>
  </xdr:twoCellAnchor>
  <xdr:twoCellAnchor>
    <xdr:from>
      <xdr:col>12</xdr:col>
      <xdr:colOff>542924</xdr:colOff>
      <xdr:row>14</xdr:row>
      <xdr:rowOff>28576</xdr:rowOff>
    </xdr:from>
    <xdr:to>
      <xdr:col>17</xdr:col>
      <xdr:colOff>590550</xdr:colOff>
      <xdr:row>14</xdr:row>
      <xdr:rowOff>28576</xdr:rowOff>
    </xdr:to>
    <xdr:cxnSp macro="">
      <xdr:nvCxnSpPr>
        <xdr:cNvPr id="27" name="Straight Connector 26">
          <a:extLst>
            <a:ext uri="{FF2B5EF4-FFF2-40B4-BE49-F238E27FC236}">
              <a16:creationId xmlns:a16="http://schemas.microsoft.com/office/drawing/2014/main" id="{00000000-0008-0000-0200-00001B000000}"/>
            </a:ext>
          </a:extLst>
        </xdr:cNvPr>
        <xdr:cNvCxnSpPr>
          <a:endCxn id="7" idx="3"/>
        </xdr:cNvCxnSpPr>
      </xdr:nvCxnSpPr>
      <xdr:spPr>
        <a:xfrm>
          <a:off x="7858124" y="2695576"/>
          <a:ext cx="309562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447675</xdr:colOff>
      <xdr:row>11</xdr:row>
      <xdr:rowOff>0</xdr:rowOff>
    </xdr:from>
    <xdr:to>
      <xdr:col>13</xdr:col>
      <xdr:colOff>19048</xdr:colOff>
      <xdr:row>18</xdr:row>
      <xdr:rowOff>0</xdr:rowOff>
    </xdr:to>
    <mc:AlternateContent xmlns:mc="http://schemas.openxmlformats.org/markup-compatibility/2006" xmlns:a14="http://schemas.microsoft.com/office/drawing/2010/main">
      <mc:Choice Requires="a14">
        <xdr:graphicFrame macro="">
          <xdr:nvGraphicFramePr>
            <xdr:cNvPr id="17" name="student_id">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5934075" y="2095500"/>
              <a:ext cx="2009773"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542925</xdr:colOff>
      <xdr:row>1</xdr:row>
      <xdr:rowOff>0</xdr:rowOff>
    </xdr:from>
    <xdr:to>
      <xdr:col>6</xdr:col>
      <xdr:colOff>238125</xdr:colOff>
      <xdr:row>6</xdr:row>
      <xdr:rowOff>0</xdr:rowOff>
    </xdr:to>
    <xdr:sp macro="" textlink="">
      <xdr:nvSpPr>
        <xdr:cNvPr id="43" name="Oval 42">
          <a:extLst>
            <a:ext uri="{FF2B5EF4-FFF2-40B4-BE49-F238E27FC236}">
              <a16:creationId xmlns:a16="http://schemas.microsoft.com/office/drawing/2014/main" id="{00000000-0008-0000-0200-00002B000000}"/>
            </a:ext>
          </a:extLst>
        </xdr:cNvPr>
        <xdr:cNvSpPr/>
      </xdr:nvSpPr>
      <xdr:spPr>
        <a:xfrm>
          <a:off x="2981325" y="190500"/>
          <a:ext cx="914400" cy="9525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5</xdr:col>
      <xdr:colOff>47625</xdr:colOff>
      <xdr:row>2</xdr:row>
      <xdr:rowOff>0</xdr:rowOff>
    </xdr:from>
    <xdr:to>
      <xdr:col>6</xdr:col>
      <xdr:colOff>92868</xdr:colOff>
      <xdr:row>5</xdr:row>
      <xdr:rowOff>66674</xdr:rowOff>
    </xdr:to>
    <xdr:pic>
      <xdr:nvPicPr>
        <xdr:cNvPr id="47" name="Picture 46">
          <a:extLst>
            <a:ext uri="{FF2B5EF4-FFF2-40B4-BE49-F238E27FC236}">
              <a16:creationId xmlns:a16="http://schemas.microsoft.com/office/drawing/2014/main" id="{00000000-0008-0000-0200-00002F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8991" t="3207" r="5046" b="25873"/>
        <a:stretch>
          <a:fillRect/>
        </a:stretch>
      </xdr:blipFill>
      <xdr:spPr>
        <a:xfrm>
          <a:off x="3095625" y="381000"/>
          <a:ext cx="654843" cy="638174"/>
        </a:xfrm>
        <a:prstGeom prst="rect">
          <a:avLst/>
        </a:prstGeom>
      </xdr:spPr>
    </xdr:pic>
    <xdr:clientData/>
  </xdr:twoCellAnchor>
  <xdr:twoCellAnchor>
    <xdr:from>
      <xdr:col>9</xdr:col>
      <xdr:colOff>571500</xdr:colOff>
      <xdr:row>6</xdr:row>
      <xdr:rowOff>133349</xdr:rowOff>
    </xdr:from>
    <xdr:to>
      <xdr:col>12</xdr:col>
      <xdr:colOff>514350</xdr:colOff>
      <xdr:row>10</xdr:row>
      <xdr:rowOff>142875</xdr:rowOff>
    </xdr:to>
    <xdr:sp macro="" textlink="">
      <xdr:nvSpPr>
        <xdr:cNvPr id="18" name="Rectangle 17">
          <a:extLst>
            <a:ext uri="{FF2B5EF4-FFF2-40B4-BE49-F238E27FC236}">
              <a16:creationId xmlns:a16="http://schemas.microsoft.com/office/drawing/2014/main" id="{15B9C650-6A64-509C-4756-BB4883E0E897}"/>
            </a:ext>
          </a:extLst>
        </xdr:cNvPr>
        <xdr:cNvSpPr/>
      </xdr:nvSpPr>
      <xdr:spPr>
        <a:xfrm>
          <a:off x="6057900" y="1276349"/>
          <a:ext cx="1771650" cy="7715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lgerian" panose="04020705040A02060702" pitchFamily="82" charset="0"/>
            </a:rPr>
            <a:t>TOTAL STUDENT</a:t>
          </a:r>
        </a:p>
      </xdr:txBody>
    </xdr:sp>
    <xdr:clientData fLocksWithSheet="0"/>
  </xdr:twoCellAnchor>
  <xdr:twoCellAnchor>
    <xdr:from>
      <xdr:col>9</xdr:col>
      <xdr:colOff>571500</xdr:colOff>
      <xdr:row>18</xdr:row>
      <xdr:rowOff>38099</xdr:rowOff>
    </xdr:from>
    <xdr:to>
      <xdr:col>12</xdr:col>
      <xdr:colOff>514350</xdr:colOff>
      <xdr:row>21</xdr:row>
      <xdr:rowOff>123824</xdr:rowOff>
    </xdr:to>
    <xdr:sp macro="" textlink="">
      <xdr:nvSpPr>
        <xdr:cNvPr id="19" name="Rectangle 18">
          <a:extLst>
            <a:ext uri="{FF2B5EF4-FFF2-40B4-BE49-F238E27FC236}">
              <a16:creationId xmlns:a16="http://schemas.microsoft.com/office/drawing/2014/main" id="{5A5851B0-0AC5-4BB4-E2E4-FF15A81E55A3}"/>
            </a:ext>
          </a:extLst>
        </xdr:cNvPr>
        <xdr:cNvSpPr/>
      </xdr:nvSpPr>
      <xdr:spPr>
        <a:xfrm>
          <a:off x="6057900" y="3467099"/>
          <a:ext cx="1771650"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Algerian" panose="04020705040A02060702" pitchFamily="82" charset="0"/>
            </a:rPr>
            <a:t>AVERAGE CGPA</a:t>
          </a:r>
        </a:p>
      </xdr:txBody>
    </xdr:sp>
    <xdr:clientData/>
  </xdr:twoCellAnchor>
  <xdr:oneCellAnchor>
    <xdr:from>
      <xdr:col>10</xdr:col>
      <xdr:colOff>523875</xdr:colOff>
      <xdr:row>9</xdr:row>
      <xdr:rowOff>66675</xdr:rowOff>
    </xdr:from>
    <xdr:ext cx="184731" cy="264560"/>
    <xdr:sp macro="" textlink="">
      <xdr:nvSpPr>
        <xdr:cNvPr id="21" name="TextBox 20">
          <a:extLst>
            <a:ext uri="{FF2B5EF4-FFF2-40B4-BE49-F238E27FC236}">
              <a16:creationId xmlns:a16="http://schemas.microsoft.com/office/drawing/2014/main" id="{D17932B8-9E92-6537-DF3D-4D44836A9E80}"/>
            </a:ext>
          </a:extLst>
        </xdr:cNvPr>
        <xdr:cNvSpPr txBox="1"/>
      </xdr:nvSpPr>
      <xdr:spPr>
        <a:xfrm>
          <a:off x="6619875" y="1781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419100</xdr:colOff>
      <xdr:row>7</xdr:row>
      <xdr:rowOff>180975</xdr:rowOff>
    </xdr:from>
    <xdr:ext cx="1066800" cy="530658"/>
    <xdr:sp macro="" textlink="'KPI''S'!B59">
      <xdr:nvSpPr>
        <xdr:cNvPr id="23" name="TextBox 22">
          <a:extLst>
            <a:ext uri="{FF2B5EF4-FFF2-40B4-BE49-F238E27FC236}">
              <a16:creationId xmlns:a16="http://schemas.microsoft.com/office/drawing/2014/main" id="{DC9911D1-A1FC-B196-D54C-F45750B8FF0F}"/>
            </a:ext>
          </a:extLst>
        </xdr:cNvPr>
        <xdr:cNvSpPr txBox="1"/>
      </xdr:nvSpPr>
      <xdr:spPr>
        <a:xfrm>
          <a:off x="6515100" y="1514475"/>
          <a:ext cx="10668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sp3d extrusionH="57150">
            <a:bevelT w="38100" h="38100" prst="relaxedInset"/>
            <a:bevelB w="57150" h="38100" prst="hardEdge"/>
          </a:sp3d>
        </a:bodyPr>
        <a:lstStyle/>
        <a:p>
          <a:fld id="{A1BA67FC-9282-4AA5-9AD3-C4364B142331}" type="TxLink">
            <a:rPr lang="en-US" sz="2800" b="1" i="0" u="none" strike="noStrike">
              <a:ln>
                <a:noFill/>
              </a:ln>
              <a:solidFill>
                <a:schemeClr val="accent2"/>
              </a:solidFill>
              <a:latin typeface="Calibri"/>
              <a:cs typeface="Calibri"/>
            </a:rPr>
            <a:t>200</a:t>
          </a:fld>
          <a:endParaRPr lang="en-US" sz="2800" b="1">
            <a:ln>
              <a:noFill/>
            </a:ln>
            <a:solidFill>
              <a:schemeClr val="accent2"/>
            </a:solidFill>
          </a:endParaRPr>
        </a:p>
      </xdr:txBody>
    </xdr:sp>
    <xdr:clientData/>
  </xdr:oneCellAnchor>
  <xdr:oneCellAnchor>
    <xdr:from>
      <xdr:col>10</xdr:col>
      <xdr:colOff>419100</xdr:colOff>
      <xdr:row>19</xdr:row>
      <xdr:rowOff>123825</xdr:rowOff>
    </xdr:from>
    <xdr:ext cx="945067" cy="374141"/>
    <xdr:sp macro="" textlink="'KPI''S'!B60">
      <xdr:nvSpPr>
        <xdr:cNvPr id="24" name="TextBox 23">
          <a:extLst>
            <a:ext uri="{FF2B5EF4-FFF2-40B4-BE49-F238E27FC236}">
              <a16:creationId xmlns:a16="http://schemas.microsoft.com/office/drawing/2014/main" id="{4C6E0FAE-ED68-52FE-D2D4-BBABAE7AD3DD}"/>
            </a:ext>
          </a:extLst>
        </xdr:cNvPr>
        <xdr:cNvSpPr txBox="1"/>
      </xdr:nvSpPr>
      <xdr:spPr>
        <a:xfrm>
          <a:off x="6515100" y="3743325"/>
          <a:ext cx="9450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scene3d>
            <a:camera prst="orthographicFront"/>
            <a:lightRig rig="threePt" dir="t"/>
          </a:scene3d>
          <a:sp3d extrusionH="57150">
            <a:bevelT w="38100" h="38100" prst="slope"/>
          </a:sp3d>
        </a:bodyPr>
        <a:lstStyle/>
        <a:p>
          <a:fld id="{FF45833F-D0BE-4073-BE41-A04A8578B02A}" type="TxLink">
            <a:rPr lang="en-US" sz="1800" b="1" i="0" u="none" strike="noStrike">
              <a:solidFill>
                <a:schemeClr val="accent2"/>
              </a:solidFill>
              <a:latin typeface="Calibri"/>
              <a:cs typeface="Calibri"/>
            </a:rPr>
            <a:t>7.10605</a:t>
          </a:fld>
          <a:endParaRPr lang="en-US" sz="1800" b="1">
            <a:solidFill>
              <a:schemeClr val="accent2"/>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38101</xdr:colOff>
      <xdr:row>0</xdr:row>
      <xdr:rowOff>104775</xdr:rowOff>
    </xdr:from>
    <xdr:to>
      <xdr:col>27</xdr:col>
      <xdr:colOff>152400</xdr:colOff>
      <xdr:row>11</xdr:row>
      <xdr:rowOff>66676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13</xdr:row>
      <xdr:rowOff>133350</xdr:rowOff>
    </xdr:from>
    <xdr:to>
      <xdr:col>27</xdr:col>
      <xdr:colOff>76200</xdr:colOff>
      <xdr:row>24</xdr:row>
      <xdr:rowOff>85725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xdr:colOff>
      <xdr:row>26</xdr:row>
      <xdr:rowOff>171450</xdr:rowOff>
    </xdr:from>
    <xdr:to>
      <xdr:col>30</xdr:col>
      <xdr:colOff>161925</xdr:colOff>
      <xdr:row>39</xdr:row>
      <xdr:rowOff>57150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114299</xdr:colOff>
      <xdr:row>45</xdr:row>
      <xdr:rowOff>28574</xdr:rowOff>
    </xdr:from>
    <xdr:to>
      <xdr:col>29</xdr:col>
      <xdr:colOff>200024</xdr:colOff>
      <xdr:row>54</xdr:row>
      <xdr:rowOff>176211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olee" refreshedDate="46147.61277939815" createdVersion="6" refreshedVersion="6" minRefreshableVersion="3" recordCount="200" xr:uid="{00000000-000A-0000-FFFF-FFFF05000000}">
  <cacheSource type="worksheet">
    <worksheetSource name="Table2"/>
  </cacheSource>
  <cacheFields count="6">
    <cacheField name="student_id" numFmtId="0">
      <sharedItems containsSemiMixedTypes="0" containsString="0" containsNumber="1" containsInteger="1" minValue="100001" maxValue="100200" count="200">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sharedItems>
    </cacheField>
    <cacheField name="attendance_percentage" numFmtId="1">
      <sharedItems containsSemiMixedTypes="0" containsString="0" containsNumber="1" minValue="50" maxValue="99.8" count="164">
        <n v="66.5"/>
        <n v="55.8"/>
        <n v="85"/>
        <n v="89.1"/>
        <n v="58.7"/>
        <n v="51.7"/>
        <n v="77.099999999999994"/>
        <n v="59.3"/>
        <n v="70.599999999999994"/>
        <n v="65"/>
        <n v="99.2"/>
        <n v="88.5"/>
        <n v="90.3"/>
        <n v="85.1"/>
        <n v="87.4"/>
        <n v="83.6"/>
        <n v="92.8"/>
        <n v="85.7"/>
        <n v="98.5"/>
        <n v="66.599999999999994"/>
        <n v="53.9"/>
        <n v="99.8"/>
        <n v="68.3"/>
        <n v="60.6"/>
        <n v="97.4"/>
        <n v="93.2"/>
        <n v="67.400000000000006"/>
        <n v="62.5"/>
        <n v="57.8"/>
        <n v="62.9"/>
        <n v="51.8"/>
        <n v="57.2"/>
        <n v="66.400000000000006"/>
        <n v="83.3"/>
        <n v="54.3"/>
        <n v="54.2"/>
        <n v="91.1"/>
        <n v="50.8"/>
        <n v="79"/>
        <n v="67.8"/>
        <n v="61.5"/>
        <n v="79.2"/>
        <n v="78.599999999999994"/>
        <n v="72.400000000000006"/>
        <n v="81.900000000000006"/>
        <n v="84.4"/>
        <n v="56.7"/>
        <n v="87.1"/>
        <n v="92"/>
        <n v="62.1"/>
        <n v="59.8"/>
        <n v="97"/>
        <n v="53.3"/>
        <n v="64.5"/>
        <n v="56.9"/>
        <n v="53.1"/>
        <n v="88.3"/>
        <n v="66"/>
        <n v="61.1"/>
        <n v="98.3"/>
        <n v="59.1"/>
        <n v="51.4"/>
        <n v="87.5"/>
        <n v="68.2"/>
        <n v="67.7"/>
        <n v="58.2"/>
        <n v="54.1"/>
        <n v="60.4"/>
        <n v="77.8"/>
        <n v="52.9"/>
        <n v="50"/>
        <n v="69.599999999999994"/>
        <n v="90.2"/>
        <n v="67.5"/>
        <n v="56"/>
        <n v="72.8"/>
        <n v="62.3"/>
        <n v="71.5"/>
        <n v="92.4"/>
        <n v="64"/>
        <n v="70.400000000000006"/>
        <n v="87.2"/>
        <n v="63.6"/>
        <n v="50.1"/>
        <n v="52.6"/>
        <n v="50.2"/>
        <n v="50.5"/>
        <n v="63.1"/>
        <n v="55.3"/>
        <n v="53.5"/>
        <n v="81.599999999999994"/>
        <n v="64.3"/>
        <n v="84.1"/>
        <n v="86.3"/>
        <n v="88.2"/>
        <n v="51.2"/>
        <n v="81.5"/>
        <n v="99.6"/>
        <n v="62.2"/>
        <n v="98.6"/>
        <n v="86.1"/>
        <n v="91"/>
        <n v="99.3"/>
        <n v="65.3"/>
        <n v="66.7"/>
        <n v="78.900000000000006"/>
        <n v="80.400000000000006"/>
        <n v="51.3"/>
        <n v="88.9"/>
        <n v="76.599999999999994"/>
        <n v="74.2"/>
        <n v="95.9"/>
        <n v="79.099999999999994"/>
        <n v="65.8"/>
        <n v="84.3"/>
        <n v="50.3"/>
        <n v="92.6"/>
        <n v="89.5"/>
        <n v="54.4"/>
        <n v="83.9"/>
        <n v="61.3"/>
        <n v="84.6"/>
        <n v="90.9"/>
        <n v="52"/>
        <n v="80.8"/>
        <n v="83.5"/>
        <n v="83.4"/>
        <n v="80.099999999999994"/>
        <n v="82.7"/>
        <n v="95.5"/>
        <n v="62.7"/>
        <n v="52.5"/>
        <n v="87.8"/>
        <n v="56.4"/>
        <n v="87.9"/>
        <n v="98.4"/>
        <n v="96"/>
        <n v="56.6"/>
        <n v="92.9"/>
        <n v="95"/>
        <n v="66.8"/>
        <n v="73"/>
        <n v="63.2"/>
        <n v="64.8"/>
        <n v="90.1"/>
        <n v="98.2"/>
        <n v="68.5"/>
        <n v="75.599999999999994"/>
        <n v="69.900000000000006"/>
        <n v="96.5"/>
        <n v="74.3"/>
        <n v="78.2"/>
        <n v="61.7"/>
        <n v="61.6"/>
        <n v="77.2"/>
        <n v="73.099999999999994"/>
        <n v="80.599999999999994"/>
        <n v="63.4"/>
        <n v="83.1"/>
        <n v="97.8"/>
        <n v="78.3"/>
        <n v="57.6"/>
        <n v="73.900000000000006"/>
        <n v="76.5"/>
      </sharedItems>
    </cacheField>
    <cacheField name="cgpa" numFmtId="1">
      <sharedItems containsSemiMixedTypes="0" containsString="0" containsNumber="1" minValue="4" maxValue="10" count="172">
        <n v="9.6300000000000008"/>
        <n v="6.04"/>
        <n v="8.31"/>
        <n v="5.95"/>
        <n v="8.51"/>
        <n v="6.82"/>
        <n v="5.36"/>
        <n v="5.91"/>
        <n v="7.23"/>
        <n v="6.26"/>
        <n v="9.31"/>
        <n v="5.62"/>
        <n v="9.5299999999999994"/>
        <n v="4.0599999999999996"/>
        <n v="8.6"/>
        <n v="9.07"/>
        <n v="5.8"/>
        <n v="8.64"/>
        <n v="8.8000000000000007"/>
        <n v="9.4499999999999993"/>
        <n v="6"/>
        <n v="5.45"/>
        <n v="4.46"/>
        <n v="9.58"/>
        <n v="4.54"/>
        <n v="9.1199999999999992"/>
        <n v="9.24"/>
        <n v="5.04"/>
        <n v="4.72"/>
        <n v="4"/>
        <n v="9.34"/>
        <n v="5.67"/>
        <n v="4.37"/>
        <n v="9.2899999999999991"/>
        <n v="9.4600000000000009"/>
        <n v="5.48"/>
        <n v="10"/>
        <n v="5.66"/>
        <n v="4.96"/>
        <n v="9.77"/>
        <n v="7.54"/>
        <n v="4.87"/>
        <n v="9.3800000000000008"/>
        <n v="8.49"/>
        <n v="7.1"/>
        <n v="7.85"/>
        <n v="5.99"/>
        <n v="8.81"/>
        <n v="8.27"/>
        <n v="7.65"/>
        <n v="7.16"/>
        <n v="7.89"/>
        <n v="4.8899999999999997"/>
        <n v="4.03"/>
        <n v="8.91"/>
        <n v="9.3699999999999992"/>
        <n v="4.18"/>
        <n v="7.08"/>
        <n v="4.97"/>
        <n v="5.68"/>
        <n v="6.37"/>
        <n v="7.05"/>
        <n v="9.85"/>
        <n v="4.33"/>
        <n v="8.24"/>
        <n v="4.9000000000000004"/>
        <n v="6.19"/>
        <n v="6.53"/>
        <n v="6.3"/>
        <n v="7.38"/>
        <n v="6.64"/>
        <n v="6.45"/>
        <n v="9.49"/>
        <n v="9.76"/>
        <n v="9.09"/>
        <n v="6.96"/>
        <n v="6.58"/>
        <n v="6.09"/>
        <n v="6.74"/>
        <n v="8.68"/>
        <n v="9.75"/>
        <n v="4.5"/>
        <n v="5.13"/>
        <n v="9.27"/>
        <n v="5.07"/>
        <n v="7.56"/>
        <n v="8.83"/>
        <n v="4.6399999999999997"/>
        <n v="9.4700000000000006"/>
        <n v="6.76"/>
        <n v="9.91"/>
        <n v="7.22"/>
        <n v="8.34"/>
        <n v="5.14"/>
        <n v="7.2"/>
        <n v="8.9700000000000006"/>
        <n v="5.84"/>
        <n v="8.0399999999999991"/>
        <n v="7.14"/>
        <n v="5.41"/>
        <n v="9.61"/>
        <n v="8.48"/>
        <n v="8.02"/>
        <n v="6.39"/>
        <n v="7.07"/>
        <n v="8.16"/>
        <n v="7.28"/>
        <n v="7.71"/>
        <n v="9.8800000000000008"/>
        <n v="6.83"/>
        <n v="8.11"/>
        <n v="7.57"/>
        <n v="9.56"/>
        <n v="4.7300000000000004"/>
        <n v="6.11"/>
        <n v="4.8499999999999996"/>
        <n v="5.69"/>
        <n v="7.73"/>
        <n v="8.3699999999999992"/>
        <n v="9.1"/>
        <n v="4.12"/>
        <n v="4.2300000000000004"/>
        <n v="6.1"/>
        <n v="4.32"/>
        <n v="4.49"/>
        <n v="7.43"/>
        <n v="9.9600000000000009"/>
        <n v="5.18"/>
        <n v="8.69"/>
        <n v="5.77"/>
        <n v="4.53"/>
        <n v="8.39"/>
        <n v="5.15"/>
        <n v="7.21"/>
        <n v="4.76"/>
        <n v="5.57"/>
        <n v="6.68"/>
        <n v="4.8099999999999996"/>
        <n v="5.08"/>
        <n v="6.69"/>
        <n v="5.51"/>
        <n v="8.2200000000000006"/>
        <n v="8.8699999999999992"/>
        <n v="6.8"/>
        <n v="4.07"/>
        <n v="9.18"/>
        <n v="6.86"/>
        <n v="7.36"/>
        <n v="4.01"/>
        <n v="4.9400000000000004"/>
        <n v="4.26"/>
        <n v="6.17"/>
        <n v="8.92"/>
        <n v="6.98"/>
        <n v="9.99"/>
        <n v="8.9"/>
        <n v="7.46"/>
        <n v="8.73"/>
        <n v="5.96"/>
        <n v="8.01"/>
        <n v="9.2100000000000009"/>
        <n v="7.15"/>
        <n v="9.9"/>
        <n v="9.0299999999999994"/>
        <n v="6.06"/>
        <n v="5.12"/>
        <n v="9.9700000000000006"/>
        <n v="4.25"/>
        <n v="5.7"/>
        <n v="6.95"/>
        <n v="4.6500000000000004"/>
        <n v="8.33"/>
      </sharedItems>
    </cacheField>
    <cacheField name="internet_quality" numFmtId="0">
      <sharedItems count="3">
        <s v="Good"/>
        <s v="Poor"/>
        <s v="Average"/>
      </sharedItems>
    </cacheField>
    <cacheField name="burnout_level" numFmtId="0">
      <sharedItems count="3">
        <s v="High"/>
        <s v="Low"/>
        <s v="Medium"/>
      </sharedItems>
    </cacheField>
    <cacheField name="cgpa grades" numFmtId="0">
      <sharedItems/>
    </cacheField>
  </cacheFields>
  <extLst>
    <ext xmlns:x14="http://schemas.microsoft.com/office/spreadsheetml/2009/9/main" uri="{725AE2AE-9491-48be-B2B4-4EB974FC3084}">
      <x14:pivotCacheDefinition pivotCacheId="2598247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kolee" refreshedDate="46150.743228703701" backgroundQuery="1" createdVersion="8" refreshedVersion="8" minRefreshableVersion="3" recordCount="0" supportSubquery="1" supportAdvancedDrill="1" xr:uid="{2A36A9B3-16DB-473D-8BF8-EAFBEEED97CC}">
  <cacheSource type="external" connectionId="1"/>
  <cacheFields count="2">
    <cacheField name="[Table2].[Att Grades].[Att Grades]" caption="Att Grades" numFmtId="0" hierarchy="5" level="1">
      <sharedItems count="3">
        <s v="High"/>
        <s v="Low"/>
        <s v="Medium"/>
      </sharedItems>
    </cacheField>
    <cacheField name="[Measures].[Average of cgpa]" caption="Average of cgpa" numFmtId="0" hierarchy="11" level="32767"/>
  </cacheFields>
  <cacheHierarchies count="12">
    <cacheHierarchy uniqueName="[Table2].[student_id]" caption="student_id" attribute="1" defaultMemberUniqueName="[Table2].[student_id].[All]" allUniqueName="[Table2].[student_id].[All]" dimensionUniqueName="[Table2]" displayFolder="" count="2" memberValueDatatype="20" unbalanced="0"/>
    <cacheHierarchy uniqueName="[Table2].[attendance_percentage]" caption="attendance_percentage" attribute="1" defaultMemberUniqueName="[Table2].[attendance_percentage].[All]" allUniqueName="[Table2].[attendance_percentage].[All]" dimensionUniqueName="[Table2]" displayFolder="" count="2" memberValueDatatype="5" unbalanced="0"/>
    <cacheHierarchy uniqueName="[Table2].[cgpa]" caption="cgpa" attribute="1" defaultMemberUniqueName="[Table2].[cgpa].[All]" allUniqueName="[Table2].[cgpa].[All]" dimensionUniqueName="[Table2]" displayFolder="" count="2" memberValueDatatype="5" unbalanced="0"/>
    <cacheHierarchy uniqueName="[Table2].[internet_quality]" caption="internet_quality" attribute="1" defaultMemberUniqueName="[Table2].[internet_quality].[All]" allUniqueName="[Table2].[internet_quality].[All]" dimensionUniqueName="[Table2]" displayFolder="" count="2" memberValueDatatype="130" unbalanced="0"/>
    <cacheHierarchy uniqueName="[Table2].[burnout_level]" caption="burnout_level" attribute="1" defaultMemberUniqueName="[Table2].[burnout_level].[All]" allUniqueName="[Table2].[burnout_level].[All]" dimensionUniqueName="[Table2]" displayFolder="" count="2" memberValueDatatype="130" unbalanced="0"/>
    <cacheHierarchy uniqueName="[Table2].[Att Grades]" caption="Att Grades" attribute="1" defaultMemberUniqueName="[Table2].[Att Grades].[All]" allUniqueName="[Table2].[Att Grades].[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Average of attendance_percentage]" caption="Average of attendance_percentage" measure="1" displayFolder="" measureGroup="Table2" count="0" hidden="1">
      <extLst>
        <ext xmlns:x15="http://schemas.microsoft.com/office/spreadsheetml/2010/11/main" uri="{B97F6D7D-B522-45F9-BDA1-12C45D357490}">
          <x15:cacheHierarchy aggregatedColumn="1"/>
        </ext>
      </extLst>
    </cacheHierarchy>
    <cacheHierarchy uniqueName="[Measures].[Sum of cgpa]" caption="Sum of cgpa" measure="1" displayFolder="" measureGroup="Table2" count="0" hidden="1">
      <extLst>
        <ext xmlns:x15="http://schemas.microsoft.com/office/spreadsheetml/2010/11/main" uri="{B97F6D7D-B522-45F9-BDA1-12C45D357490}">
          <x15:cacheHierarchy aggregatedColumn="2"/>
        </ext>
      </extLst>
    </cacheHierarchy>
    <cacheHierarchy uniqueName="[Measures].[Max of cgpa]" caption="Max of cgpa" measure="1" displayFolder="" measureGroup="Table2" count="0" hidden="1">
      <extLst>
        <ext xmlns:x15="http://schemas.microsoft.com/office/spreadsheetml/2010/11/main" uri="{B97F6D7D-B522-45F9-BDA1-12C45D357490}">
          <x15:cacheHierarchy aggregatedColumn="2"/>
        </ext>
      </extLst>
    </cacheHierarchy>
    <cacheHierarchy uniqueName="[Measures].[Average of cgpa]" caption="Average of cgpa" measure="1" displayFolder="" measureGroup="Table2"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kolee" refreshedDate="46150.346585763888" backgroundQuery="1" createdVersion="3" refreshedVersion="8" minRefreshableVersion="3" recordCount="0" supportSubquery="1" supportAdvancedDrill="1" xr:uid="{0A3E138E-4098-43D4-8E7F-622D8ECCC46A}">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Table2].[student_id]" caption="student_id" attribute="1" defaultMemberUniqueName="[Table2].[student_id].[All]" allUniqueName="[Table2].[student_id].[All]" dimensionUniqueName="[Table2]" displayFolder="" count="2" memberValueDatatype="20" unbalanced="0"/>
    <cacheHierarchy uniqueName="[Table2].[attendance_percentage]" caption="attendance_percentage" attribute="1" defaultMemberUniqueName="[Table2].[attendance_percentage].[All]" allUniqueName="[Table2].[attendance_percentage].[All]" dimensionUniqueName="[Table2]" displayFolder="" count="0" memberValueDatatype="5" unbalanced="0"/>
    <cacheHierarchy uniqueName="[Table2].[cgpa]" caption="cgpa" attribute="1" defaultMemberUniqueName="[Table2].[cgpa].[All]" allUniqueName="[Table2].[cgpa].[All]" dimensionUniqueName="[Table2]" displayFolder="" count="0" memberValueDatatype="5" unbalanced="0"/>
    <cacheHierarchy uniqueName="[Table2].[internet_quality]" caption="internet_quality" attribute="1" defaultMemberUniqueName="[Table2].[internet_quality].[All]" allUniqueName="[Table2].[internet_quality].[All]" dimensionUniqueName="[Table2]" displayFolder="" count="2" memberValueDatatype="130" unbalanced="0"/>
    <cacheHierarchy uniqueName="[Table2].[burnout_level]" caption="burnout_level" attribute="1" defaultMemberUniqueName="[Table2].[burnout_level].[All]" allUniqueName="[Table2].[burnout_level].[All]" dimensionUniqueName="[Table2]" displayFolder="" count="2" memberValueDatatype="130" unbalanced="0"/>
    <cacheHierarchy uniqueName="[Table2].[Att Grades]" caption="Att Grades" attribute="1" defaultMemberUniqueName="[Table2].[Att Grades].[All]" allUniqueName="[Table2].[Att Grades].[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Average of attendance_percentage]" caption="Average of attendance_percentage" measure="1" displayFolder="" measureGroup="Table2" count="0" hidden="1">
      <extLst>
        <ext xmlns:x15="http://schemas.microsoft.com/office/spreadsheetml/2010/11/main" uri="{B97F6D7D-B522-45F9-BDA1-12C45D357490}">
          <x15:cacheHierarchy aggregatedColumn="1"/>
        </ext>
      </extLst>
    </cacheHierarchy>
    <cacheHierarchy uniqueName="[Measures].[Sum of cgpa]" caption="Sum of cgpa" measure="1" displayFolder="" measureGroup="Table2" count="0" hidden="1">
      <extLst>
        <ext xmlns:x15="http://schemas.microsoft.com/office/spreadsheetml/2010/11/main" uri="{B97F6D7D-B522-45F9-BDA1-12C45D357490}">
          <x15:cacheHierarchy aggregatedColumn="2"/>
        </ext>
      </extLst>
    </cacheHierarchy>
    <cacheHierarchy uniqueName="[Measures].[Max of cgpa]" caption="Max of cgpa" measure="1" displayFolder="" measureGroup="Table2" count="0" hidden="1">
      <extLst>
        <ext xmlns:x15="http://schemas.microsoft.com/office/spreadsheetml/2010/11/main" uri="{B97F6D7D-B522-45F9-BDA1-12C45D357490}">
          <x15:cacheHierarchy aggregatedColumn="2"/>
        </ext>
      </extLst>
    </cacheHierarchy>
    <cacheHierarchy uniqueName="[Measures].[Average of cgpa]" caption="Average of cgpa" measure="1" displayFolder="" measureGroup="Table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71444234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s v="HIGH"/>
  </r>
  <r>
    <x v="1"/>
    <x v="1"/>
    <x v="1"/>
    <x v="1"/>
    <x v="1"/>
    <s v="HIGH"/>
  </r>
  <r>
    <x v="2"/>
    <x v="2"/>
    <x v="2"/>
    <x v="0"/>
    <x v="0"/>
    <s v="HIGH"/>
  </r>
  <r>
    <x v="3"/>
    <x v="3"/>
    <x v="3"/>
    <x v="0"/>
    <x v="0"/>
    <s v="MEDIUM"/>
  </r>
  <r>
    <x v="4"/>
    <x v="4"/>
    <x v="4"/>
    <x v="0"/>
    <x v="1"/>
    <s v="HIGH"/>
  </r>
  <r>
    <x v="5"/>
    <x v="5"/>
    <x v="5"/>
    <x v="2"/>
    <x v="1"/>
    <s v="HIGH"/>
  </r>
  <r>
    <x v="6"/>
    <x v="6"/>
    <x v="6"/>
    <x v="2"/>
    <x v="1"/>
    <s v="MEDIUM"/>
  </r>
  <r>
    <x v="7"/>
    <x v="7"/>
    <x v="7"/>
    <x v="2"/>
    <x v="1"/>
    <s v="MEDIUM"/>
  </r>
  <r>
    <x v="8"/>
    <x v="8"/>
    <x v="8"/>
    <x v="2"/>
    <x v="1"/>
    <s v="HIGH"/>
  </r>
  <r>
    <x v="9"/>
    <x v="9"/>
    <x v="9"/>
    <x v="1"/>
    <x v="2"/>
    <s v="HIGH"/>
  </r>
  <r>
    <x v="10"/>
    <x v="10"/>
    <x v="10"/>
    <x v="0"/>
    <x v="1"/>
    <s v="HIGH"/>
  </r>
  <r>
    <x v="11"/>
    <x v="11"/>
    <x v="11"/>
    <x v="2"/>
    <x v="1"/>
    <s v="MEDIUM"/>
  </r>
  <r>
    <x v="12"/>
    <x v="12"/>
    <x v="12"/>
    <x v="2"/>
    <x v="1"/>
    <s v="HIGH"/>
  </r>
  <r>
    <x v="13"/>
    <x v="13"/>
    <x v="13"/>
    <x v="0"/>
    <x v="2"/>
    <s v="MEDIUM"/>
  </r>
  <r>
    <x v="14"/>
    <x v="14"/>
    <x v="14"/>
    <x v="2"/>
    <x v="2"/>
    <s v="HIGH"/>
  </r>
  <r>
    <x v="15"/>
    <x v="15"/>
    <x v="15"/>
    <x v="1"/>
    <x v="0"/>
    <s v="HIGH"/>
  </r>
  <r>
    <x v="16"/>
    <x v="16"/>
    <x v="16"/>
    <x v="0"/>
    <x v="2"/>
    <s v="MEDIUM"/>
  </r>
  <r>
    <x v="17"/>
    <x v="17"/>
    <x v="17"/>
    <x v="2"/>
    <x v="2"/>
    <s v="HIGH"/>
  </r>
  <r>
    <x v="18"/>
    <x v="18"/>
    <x v="18"/>
    <x v="2"/>
    <x v="2"/>
    <s v="HIGH"/>
  </r>
  <r>
    <x v="19"/>
    <x v="19"/>
    <x v="19"/>
    <x v="1"/>
    <x v="2"/>
    <s v="HIGH"/>
  </r>
  <r>
    <x v="20"/>
    <x v="16"/>
    <x v="20"/>
    <x v="1"/>
    <x v="2"/>
    <s v="MEDIUM"/>
  </r>
  <r>
    <x v="21"/>
    <x v="16"/>
    <x v="21"/>
    <x v="0"/>
    <x v="0"/>
    <s v="MEDIUM"/>
  </r>
  <r>
    <x v="22"/>
    <x v="20"/>
    <x v="22"/>
    <x v="2"/>
    <x v="1"/>
    <s v="MEDIUM"/>
  </r>
  <r>
    <x v="23"/>
    <x v="21"/>
    <x v="23"/>
    <x v="1"/>
    <x v="1"/>
    <s v="HIGH"/>
  </r>
  <r>
    <x v="24"/>
    <x v="22"/>
    <x v="5"/>
    <x v="2"/>
    <x v="1"/>
    <s v="HIGH"/>
  </r>
  <r>
    <x v="25"/>
    <x v="23"/>
    <x v="24"/>
    <x v="1"/>
    <x v="0"/>
    <s v="MEDIUM"/>
  </r>
  <r>
    <x v="26"/>
    <x v="24"/>
    <x v="25"/>
    <x v="1"/>
    <x v="1"/>
    <s v="HIGH"/>
  </r>
  <r>
    <x v="27"/>
    <x v="25"/>
    <x v="26"/>
    <x v="2"/>
    <x v="1"/>
    <s v="HIGH"/>
  </r>
  <r>
    <x v="28"/>
    <x v="26"/>
    <x v="27"/>
    <x v="1"/>
    <x v="2"/>
    <s v="MEDIUM"/>
  </r>
  <r>
    <x v="29"/>
    <x v="27"/>
    <x v="28"/>
    <x v="1"/>
    <x v="2"/>
    <s v="MEDIUM"/>
  </r>
  <r>
    <x v="30"/>
    <x v="28"/>
    <x v="29"/>
    <x v="0"/>
    <x v="1"/>
    <s v="MEDIUM"/>
  </r>
  <r>
    <x v="31"/>
    <x v="29"/>
    <x v="30"/>
    <x v="1"/>
    <x v="1"/>
    <s v="HIGH"/>
  </r>
  <r>
    <x v="32"/>
    <x v="30"/>
    <x v="31"/>
    <x v="2"/>
    <x v="0"/>
    <s v="MEDIUM"/>
  </r>
  <r>
    <x v="33"/>
    <x v="31"/>
    <x v="10"/>
    <x v="2"/>
    <x v="1"/>
    <s v="HIGH"/>
  </r>
  <r>
    <x v="34"/>
    <x v="32"/>
    <x v="32"/>
    <x v="0"/>
    <x v="1"/>
    <s v="MEDIUM"/>
  </r>
  <r>
    <x v="35"/>
    <x v="33"/>
    <x v="33"/>
    <x v="1"/>
    <x v="1"/>
    <s v="HIGH"/>
  </r>
  <r>
    <x v="36"/>
    <x v="34"/>
    <x v="34"/>
    <x v="1"/>
    <x v="1"/>
    <s v="HIGH"/>
  </r>
  <r>
    <x v="37"/>
    <x v="35"/>
    <x v="35"/>
    <x v="0"/>
    <x v="2"/>
    <s v="MEDIUM"/>
  </r>
  <r>
    <x v="38"/>
    <x v="36"/>
    <x v="36"/>
    <x v="0"/>
    <x v="1"/>
    <s v="HIGH"/>
  </r>
  <r>
    <x v="39"/>
    <x v="24"/>
    <x v="37"/>
    <x v="0"/>
    <x v="1"/>
    <s v="MEDIUM"/>
  </r>
  <r>
    <x v="40"/>
    <x v="37"/>
    <x v="38"/>
    <x v="0"/>
    <x v="0"/>
    <s v="MEDIUM"/>
  </r>
  <r>
    <x v="41"/>
    <x v="38"/>
    <x v="39"/>
    <x v="0"/>
    <x v="2"/>
    <s v="HIGH"/>
  </r>
  <r>
    <x v="42"/>
    <x v="39"/>
    <x v="40"/>
    <x v="1"/>
    <x v="0"/>
    <s v="HIGH"/>
  </r>
  <r>
    <x v="43"/>
    <x v="40"/>
    <x v="41"/>
    <x v="0"/>
    <x v="0"/>
    <s v="MEDIUM"/>
  </r>
  <r>
    <x v="44"/>
    <x v="41"/>
    <x v="42"/>
    <x v="1"/>
    <x v="1"/>
    <s v="HIGH"/>
  </r>
  <r>
    <x v="45"/>
    <x v="42"/>
    <x v="43"/>
    <x v="1"/>
    <x v="1"/>
    <s v="HIGH"/>
  </r>
  <r>
    <x v="46"/>
    <x v="43"/>
    <x v="44"/>
    <x v="0"/>
    <x v="0"/>
    <s v="HIGH"/>
  </r>
  <r>
    <x v="47"/>
    <x v="44"/>
    <x v="45"/>
    <x v="1"/>
    <x v="0"/>
    <s v="HIGH"/>
  </r>
  <r>
    <x v="48"/>
    <x v="45"/>
    <x v="46"/>
    <x v="2"/>
    <x v="2"/>
    <s v="MEDIUM"/>
  </r>
  <r>
    <x v="49"/>
    <x v="46"/>
    <x v="47"/>
    <x v="1"/>
    <x v="0"/>
    <s v="HIGH"/>
  </r>
  <r>
    <x v="50"/>
    <x v="47"/>
    <x v="48"/>
    <x v="0"/>
    <x v="1"/>
    <s v="HIGH"/>
  </r>
  <r>
    <x v="51"/>
    <x v="48"/>
    <x v="49"/>
    <x v="0"/>
    <x v="0"/>
    <s v="HIGH"/>
  </r>
  <r>
    <x v="52"/>
    <x v="49"/>
    <x v="50"/>
    <x v="2"/>
    <x v="2"/>
    <s v="HIGH"/>
  </r>
  <r>
    <x v="53"/>
    <x v="50"/>
    <x v="8"/>
    <x v="2"/>
    <x v="1"/>
    <s v="HIGH"/>
  </r>
  <r>
    <x v="54"/>
    <x v="51"/>
    <x v="51"/>
    <x v="2"/>
    <x v="2"/>
    <s v="HIGH"/>
  </r>
  <r>
    <x v="55"/>
    <x v="52"/>
    <x v="52"/>
    <x v="0"/>
    <x v="0"/>
    <s v="MEDIUM"/>
  </r>
  <r>
    <x v="56"/>
    <x v="53"/>
    <x v="53"/>
    <x v="0"/>
    <x v="1"/>
    <s v="MEDIUM"/>
  </r>
  <r>
    <x v="57"/>
    <x v="54"/>
    <x v="54"/>
    <x v="2"/>
    <x v="2"/>
    <s v="HIGH"/>
  </r>
  <r>
    <x v="58"/>
    <x v="55"/>
    <x v="55"/>
    <x v="0"/>
    <x v="2"/>
    <s v="HIGH"/>
  </r>
  <r>
    <x v="59"/>
    <x v="56"/>
    <x v="56"/>
    <x v="1"/>
    <x v="0"/>
    <s v="MEDIUM"/>
  </r>
  <r>
    <x v="60"/>
    <x v="57"/>
    <x v="57"/>
    <x v="0"/>
    <x v="1"/>
    <s v="HIGH"/>
  </r>
  <r>
    <x v="61"/>
    <x v="58"/>
    <x v="58"/>
    <x v="2"/>
    <x v="0"/>
    <s v="MEDIUM"/>
  </r>
  <r>
    <x v="62"/>
    <x v="59"/>
    <x v="59"/>
    <x v="2"/>
    <x v="1"/>
    <s v="MEDIUM"/>
  </r>
  <r>
    <x v="63"/>
    <x v="2"/>
    <x v="60"/>
    <x v="2"/>
    <x v="2"/>
    <s v="HIGH"/>
  </r>
  <r>
    <x v="64"/>
    <x v="39"/>
    <x v="41"/>
    <x v="1"/>
    <x v="2"/>
    <s v="MEDIUM"/>
  </r>
  <r>
    <x v="65"/>
    <x v="60"/>
    <x v="61"/>
    <x v="1"/>
    <x v="0"/>
    <s v="HIGH"/>
  </r>
  <r>
    <x v="66"/>
    <x v="61"/>
    <x v="62"/>
    <x v="2"/>
    <x v="2"/>
    <s v="HIGH"/>
  </r>
  <r>
    <x v="67"/>
    <x v="62"/>
    <x v="63"/>
    <x v="0"/>
    <x v="1"/>
    <s v="MEDIUM"/>
  </r>
  <r>
    <x v="68"/>
    <x v="63"/>
    <x v="64"/>
    <x v="2"/>
    <x v="2"/>
    <s v="HIGH"/>
  </r>
  <r>
    <x v="69"/>
    <x v="64"/>
    <x v="65"/>
    <x v="0"/>
    <x v="2"/>
    <s v="MEDIUM"/>
  </r>
  <r>
    <x v="70"/>
    <x v="65"/>
    <x v="66"/>
    <x v="2"/>
    <x v="2"/>
    <s v="HIGH"/>
  </r>
  <r>
    <x v="71"/>
    <x v="66"/>
    <x v="67"/>
    <x v="2"/>
    <x v="2"/>
    <s v="HIGH"/>
  </r>
  <r>
    <x v="72"/>
    <x v="67"/>
    <x v="68"/>
    <x v="2"/>
    <x v="0"/>
    <s v="HIGH"/>
  </r>
  <r>
    <x v="73"/>
    <x v="68"/>
    <x v="38"/>
    <x v="2"/>
    <x v="1"/>
    <s v="MEDIUM"/>
  </r>
  <r>
    <x v="74"/>
    <x v="38"/>
    <x v="69"/>
    <x v="0"/>
    <x v="1"/>
    <s v="HIGH"/>
  </r>
  <r>
    <x v="75"/>
    <x v="69"/>
    <x v="70"/>
    <x v="2"/>
    <x v="1"/>
    <s v="HIGH"/>
  </r>
  <r>
    <x v="76"/>
    <x v="70"/>
    <x v="71"/>
    <x v="2"/>
    <x v="2"/>
    <s v="HIGH"/>
  </r>
  <r>
    <x v="77"/>
    <x v="71"/>
    <x v="72"/>
    <x v="2"/>
    <x v="0"/>
    <s v="HIGH"/>
  </r>
  <r>
    <x v="78"/>
    <x v="72"/>
    <x v="73"/>
    <x v="1"/>
    <x v="0"/>
    <s v="HIGH"/>
  </r>
  <r>
    <x v="79"/>
    <x v="73"/>
    <x v="74"/>
    <x v="1"/>
    <x v="1"/>
    <s v="HIGH"/>
  </r>
  <r>
    <x v="80"/>
    <x v="74"/>
    <x v="40"/>
    <x v="0"/>
    <x v="1"/>
    <s v="HIGH"/>
  </r>
  <r>
    <x v="81"/>
    <x v="71"/>
    <x v="75"/>
    <x v="2"/>
    <x v="1"/>
    <s v="HIGH"/>
  </r>
  <r>
    <x v="82"/>
    <x v="75"/>
    <x v="76"/>
    <x v="2"/>
    <x v="0"/>
    <s v="HIGH"/>
  </r>
  <r>
    <x v="83"/>
    <x v="76"/>
    <x v="77"/>
    <x v="1"/>
    <x v="1"/>
    <s v="HIGH"/>
  </r>
  <r>
    <x v="84"/>
    <x v="77"/>
    <x v="78"/>
    <x v="1"/>
    <x v="1"/>
    <s v="HIGH"/>
  </r>
  <r>
    <x v="85"/>
    <x v="78"/>
    <x v="79"/>
    <x v="1"/>
    <x v="0"/>
    <s v="HIGH"/>
  </r>
  <r>
    <x v="86"/>
    <x v="79"/>
    <x v="80"/>
    <x v="2"/>
    <x v="1"/>
    <s v="HIGH"/>
  </r>
  <r>
    <x v="87"/>
    <x v="80"/>
    <x v="17"/>
    <x v="2"/>
    <x v="1"/>
    <s v="HIGH"/>
  </r>
  <r>
    <x v="88"/>
    <x v="81"/>
    <x v="81"/>
    <x v="0"/>
    <x v="1"/>
    <s v="MEDIUM"/>
  </r>
  <r>
    <x v="89"/>
    <x v="82"/>
    <x v="82"/>
    <x v="0"/>
    <x v="0"/>
    <s v="MEDIUM"/>
  </r>
  <r>
    <x v="90"/>
    <x v="83"/>
    <x v="83"/>
    <x v="2"/>
    <x v="1"/>
    <s v="HIGH"/>
  </r>
  <r>
    <x v="91"/>
    <x v="84"/>
    <x v="84"/>
    <x v="0"/>
    <x v="2"/>
    <s v="MEDIUM"/>
  </r>
  <r>
    <x v="92"/>
    <x v="85"/>
    <x v="85"/>
    <x v="0"/>
    <x v="0"/>
    <s v="HIGH"/>
  </r>
  <r>
    <x v="93"/>
    <x v="86"/>
    <x v="86"/>
    <x v="1"/>
    <x v="1"/>
    <s v="HIGH"/>
  </r>
  <r>
    <x v="94"/>
    <x v="87"/>
    <x v="87"/>
    <x v="0"/>
    <x v="1"/>
    <s v="MEDIUM"/>
  </r>
  <r>
    <x v="95"/>
    <x v="88"/>
    <x v="88"/>
    <x v="2"/>
    <x v="1"/>
    <s v="HIGH"/>
  </r>
  <r>
    <x v="96"/>
    <x v="21"/>
    <x v="89"/>
    <x v="2"/>
    <x v="1"/>
    <s v="HIGH"/>
  </r>
  <r>
    <x v="97"/>
    <x v="89"/>
    <x v="90"/>
    <x v="2"/>
    <x v="2"/>
    <s v="HIGH"/>
  </r>
  <r>
    <x v="98"/>
    <x v="90"/>
    <x v="91"/>
    <x v="2"/>
    <x v="2"/>
    <s v="HIGH"/>
  </r>
  <r>
    <x v="99"/>
    <x v="91"/>
    <x v="85"/>
    <x v="1"/>
    <x v="1"/>
    <s v="HIGH"/>
  </r>
  <r>
    <x v="100"/>
    <x v="92"/>
    <x v="92"/>
    <x v="0"/>
    <x v="0"/>
    <s v="HIGH"/>
  </r>
  <r>
    <x v="101"/>
    <x v="93"/>
    <x v="93"/>
    <x v="2"/>
    <x v="0"/>
    <s v="MEDIUM"/>
  </r>
  <r>
    <x v="102"/>
    <x v="94"/>
    <x v="94"/>
    <x v="0"/>
    <x v="2"/>
    <s v="HIGH"/>
  </r>
  <r>
    <x v="103"/>
    <x v="95"/>
    <x v="95"/>
    <x v="2"/>
    <x v="2"/>
    <s v="HIGH"/>
  </r>
  <r>
    <x v="104"/>
    <x v="61"/>
    <x v="96"/>
    <x v="1"/>
    <x v="1"/>
    <s v="MEDIUM"/>
  </r>
  <r>
    <x v="105"/>
    <x v="96"/>
    <x v="97"/>
    <x v="2"/>
    <x v="0"/>
    <s v="HIGH"/>
  </r>
  <r>
    <x v="106"/>
    <x v="97"/>
    <x v="95"/>
    <x v="0"/>
    <x v="0"/>
    <s v="HIGH"/>
  </r>
  <r>
    <x v="107"/>
    <x v="98"/>
    <x v="98"/>
    <x v="2"/>
    <x v="0"/>
    <s v="HIGH"/>
  </r>
  <r>
    <x v="108"/>
    <x v="99"/>
    <x v="99"/>
    <x v="2"/>
    <x v="2"/>
    <s v="MEDIUM"/>
  </r>
  <r>
    <x v="109"/>
    <x v="98"/>
    <x v="17"/>
    <x v="1"/>
    <x v="1"/>
    <s v="HIGH"/>
  </r>
  <r>
    <x v="110"/>
    <x v="100"/>
    <x v="100"/>
    <x v="2"/>
    <x v="2"/>
    <s v="HIGH"/>
  </r>
  <r>
    <x v="111"/>
    <x v="101"/>
    <x v="101"/>
    <x v="0"/>
    <x v="2"/>
    <s v="HIGH"/>
  </r>
  <r>
    <x v="112"/>
    <x v="102"/>
    <x v="102"/>
    <x v="0"/>
    <x v="1"/>
    <s v="HIGH"/>
  </r>
  <r>
    <x v="113"/>
    <x v="103"/>
    <x v="103"/>
    <x v="2"/>
    <x v="2"/>
    <s v="HIGH"/>
  </r>
  <r>
    <x v="114"/>
    <x v="104"/>
    <x v="104"/>
    <x v="1"/>
    <x v="2"/>
    <s v="HIGH"/>
  </r>
  <r>
    <x v="115"/>
    <x v="105"/>
    <x v="105"/>
    <x v="2"/>
    <x v="2"/>
    <s v="HIGH"/>
  </r>
  <r>
    <x v="116"/>
    <x v="58"/>
    <x v="83"/>
    <x v="0"/>
    <x v="0"/>
    <s v="HIGH"/>
  </r>
  <r>
    <x v="117"/>
    <x v="67"/>
    <x v="106"/>
    <x v="2"/>
    <x v="0"/>
    <s v="HIGH"/>
  </r>
  <r>
    <x v="118"/>
    <x v="44"/>
    <x v="107"/>
    <x v="0"/>
    <x v="1"/>
    <s v="HIGH"/>
  </r>
  <r>
    <x v="119"/>
    <x v="106"/>
    <x v="108"/>
    <x v="1"/>
    <x v="1"/>
    <s v="HIGH"/>
  </r>
  <r>
    <x v="120"/>
    <x v="107"/>
    <x v="109"/>
    <x v="0"/>
    <x v="2"/>
    <s v="HIGH"/>
  </r>
  <r>
    <x v="121"/>
    <x v="100"/>
    <x v="110"/>
    <x v="1"/>
    <x v="1"/>
    <s v="HIGH"/>
  </r>
  <r>
    <x v="122"/>
    <x v="108"/>
    <x v="62"/>
    <x v="0"/>
    <x v="2"/>
    <s v="HIGH"/>
  </r>
  <r>
    <x v="123"/>
    <x v="109"/>
    <x v="111"/>
    <x v="2"/>
    <x v="2"/>
    <s v="HIGH"/>
  </r>
  <r>
    <x v="124"/>
    <x v="110"/>
    <x v="112"/>
    <x v="2"/>
    <x v="1"/>
    <s v="HIGH"/>
  </r>
  <r>
    <x v="125"/>
    <x v="111"/>
    <x v="113"/>
    <x v="1"/>
    <x v="0"/>
    <s v="MEDIUM"/>
  </r>
  <r>
    <x v="126"/>
    <x v="112"/>
    <x v="114"/>
    <x v="2"/>
    <x v="1"/>
    <s v="HIGH"/>
  </r>
  <r>
    <x v="127"/>
    <x v="113"/>
    <x v="115"/>
    <x v="1"/>
    <x v="1"/>
    <s v="MEDIUM"/>
  </r>
  <r>
    <x v="128"/>
    <x v="111"/>
    <x v="116"/>
    <x v="0"/>
    <x v="1"/>
    <s v="MEDIUM"/>
  </r>
  <r>
    <x v="129"/>
    <x v="114"/>
    <x v="117"/>
    <x v="0"/>
    <x v="2"/>
    <s v="HIGH"/>
  </r>
  <r>
    <x v="130"/>
    <x v="115"/>
    <x v="118"/>
    <x v="1"/>
    <x v="2"/>
    <s v="HIGH"/>
  </r>
  <r>
    <x v="131"/>
    <x v="116"/>
    <x v="119"/>
    <x v="0"/>
    <x v="2"/>
    <s v="HIGH"/>
  </r>
  <r>
    <x v="132"/>
    <x v="117"/>
    <x v="120"/>
    <x v="1"/>
    <x v="1"/>
    <s v="MEDIUM"/>
  </r>
  <r>
    <x v="133"/>
    <x v="118"/>
    <x v="74"/>
    <x v="0"/>
    <x v="2"/>
    <s v="HIGH"/>
  </r>
  <r>
    <x v="134"/>
    <x v="119"/>
    <x v="36"/>
    <x v="0"/>
    <x v="2"/>
    <s v="HIGH"/>
  </r>
  <r>
    <x v="135"/>
    <x v="26"/>
    <x v="121"/>
    <x v="1"/>
    <x v="1"/>
    <s v="MEDIUM"/>
  </r>
  <r>
    <x v="136"/>
    <x v="120"/>
    <x v="122"/>
    <x v="2"/>
    <x v="1"/>
    <s v="HIGH"/>
  </r>
  <r>
    <x v="137"/>
    <x v="121"/>
    <x v="123"/>
    <x v="1"/>
    <x v="2"/>
    <s v="MEDIUM"/>
  </r>
  <r>
    <x v="138"/>
    <x v="122"/>
    <x v="124"/>
    <x v="1"/>
    <x v="1"/>
    <s v="MEDIUM"/>
  </r>
  <r>
    <x v="139"/>
    <x v="123"/>
    <x v="125"/>
    <x v="2"/>
    <x v="1"/>
    <s v="HIGH"/>
  </r>
  <r>
    <x v="140"/>
    <x v="81"/>
    <x v="126"/>
    <x v="0"/>
    <x v="0"/>
    <s v="HIGH"/>
  </r>
  <r>
    <x v="141"/>
    <x v="124"/>
    <x v="127"/>
    <x v="1"/>
    <x v="0"/>
    <s v="MEDIUM"/>
  </r>
  <r>
    <x v="142"/>
    <x v="125"/>
    <x v="128"/>
    <x v="2"/>
    <x v="0"/>
    <s v="HIGH"/>
  </r>
  <r>
    <x v="143"/>
    <x v="48"/>
    <x v="129"/>
    <x v="0"/>
    <x v="2"/>
    <s v="MEDIUM"/>
  </r>
  <r>
    <x v="144"/>
    <x v="126"/>
    <x v="130"/>
    <x v="0"/>
    <x v="0"/>
    <s v="MEDIUM"/>
  </r>
  <r>
    <x v="145"/>
    <x v="127"/>
    <x v="92"/>
    <x v="1"/>
    <x v="1"/>
    <s v="HIGH"/>
  </r>
  <r>
    <x v="146"/>
    <x v="128"/>
    <x v="11"/>
    <x v="1"/>
    <x v="2"/>
    <s v="MEDIUM"/>
  </r>
  <r>
    <x v="147"/>
    <x v="28"/>
    <x v="131"/>
    <x v="2"/>
    <x v="0"/>
    <s v="HIGH"/>
  </r>
  <r>
    <x v="148"/>
    <x v="129"/>
    <x v="132"/>
    <x v="2"/>
    <x v="2"/>
    <s v="MEDIUM"/>
  </r>
  <r>
    <x v="149"/>
    <x v="31"/>
    <x v="133"/>
    <x v="0"/>
    <x v="1"/>
    <s v="HIGH"/>
  </r>
  <r>
    <x v="150"/>
    <x v="69"/>
    <x v="134"/>
    <x v="0"/>
    <x v="2"/>
    <s v="MEDIUM"/>
  </r>
  <r>
    <x v="151"/>
    <x v="130"/>
    <x v="135"/>
    <x v="0"/>
    <x v="1"/>
    <s v="MEDIUM"/>
  </r>
  <r>
    <x v="152"/>
    <x v="28"/>
    <x v="136"/>
    <x v="1"/>
    <x v="0"/>
    <s v="HIGH"/>
  </r>
  <r>
    <x v="153"/>
    <x v="131"/>
    <x v="137"/>
    <x v="0"/>
    <x v="2"/>
    <s v="MEDIUM"/>
  </r>
  <r>
    <x v="154"/>
    <x v="132"/>
    <x v="138"/>
    <x v="1"/>
    <x v="2"/>
    <s v="MEDIUM"/>
  </r>
  <r>
    <x v="155"/>
    <x v="98"/>
    <x v="139"/>
    <x v="0"/>
    <x v="1"/>
    <s v="HIGH"/>
  </r>
  <r>
    <x v="156"/>
    <x v="133"/>
    <x v="41"/>
    <x v="2"/>
    <x v="2"/>
    <s v="MEDIUM"/>
  </r>
  <r>
    <x v="157"/>
    <x v="134"/>
    <x v="140"/>
    <x v="2"/>
    <x v="1"/>
    <s v="MEDIUM"/>
  </r>
  <r>
    <x v="158"/>
    <x v="135"/>
    <x v="141"/>
    <x v="0"/>
    <x v="0"/>
    <s v="HIGH"/>
  </r>
  <r>
    <x v="159"/>
    <x v="136"/>
    <x v="142"/>
    <x v="2"/>
    <x v="0"/>
    <s v="HIGH"/>
  </r>
  <r>
    <x v="160"/>
    <x v="72"/>
    <x v="143"/>
    <x v="0"/>
    <x v="1"/>
    <s v="HIGH"/>
  </r>
  <r>
    <x v="161"/>
    <x v="137"/>
    <x v="144"/>
    <x v="0"/>
    <x v="2"/>
    <s v="MEDIUM"/>
  </r>
  <r>
    <x v="162"/>
    <x v="138"/>
    <x v="145"/>
    <x v="2"/>
    <x v="0"/>
    <s v="HIGH"/>
  </r>
  <r>
    <x v="163"/>
    <x v="139"/>
    <x v="146"/>
    <x v="0"/>
    <x v="1"/>
    <s v="HIGH"/>
  </r>
  <r>
    <x v="164"/>
    <x v="128"/>
    <x v="147"/>
    <x v="1"/>
    <x v="1"/>
    <s v="HIGH"/>
  </r>
  <r>
    <x v="165"/>
    <x v="140"/>
    <x v="148"/>
    <x v="2"/>
    <x v="0"/>
    <s v="MEDIUM"/>
  </r>
  <r>
    <x v="166"/>
    <x v="128"/>
    <x v="149"/>
    <x v="1"/>
    <x v="2"/>
    <s v="MEDIUM"/>
  </r>
  <r>
    <x v="167"/>
    <x v="141"/>
    <x v="150"/>
    <x v="1"/>
    <x v="0"/>
    <s v="MEDIUM"/>
  </r>
  <r>
    <x v="168"/>
    <x v="142"/>
    <x v="26"/>
    <x v="2"/>
    <x v="1"/>
    <s v="HIGH"/>
  </r>
  <r>
    <x v="169"/>
    <x v="143"/>
    <x v="89"/>
    <x v="2"/>
    <x v="1"/>
    <s v="HIGH"/>
  </r>
  <r>
    <x v="170"/>
    <x v="144"/>
    <x v="151"/>
    <x v="1"/>
    <x v="1"/>
    <s v="HIGH"/>
  </r>
  <r>
    <x v="171"/>
    <x v="145"/>
    <x v="152"/>
    <x v="2"/>
    <x v="0"/>
    <s v="HIGH"/>
  </r>
  <r>
    <x v="172"/>
    <x v="84"/>
    <x v="153"/>
    <x v="2"/>
    <x v="2"/>
    <s v="HIGH"/>
  </r>
  <r>
    <x v="173"/>
    <x v="146"/>
    <x v="100"/>
    <x v="1"/>
    <x v="1"/>
    <s v="HIGH"/>
  </r>
  <r>
    <x v="174"/>
    <x v="147"/>
    <x v="140"/>
    <x v="2"/>
    <x v="1"/>
    <s v="MEDIUM"/>
  </r>
  <r>
    <x v="175"/>
    <x v="148"/>
    <x v="12"/>
    <x v="0"/>
    <x v="1"/>
    <s v="HIGH"/>
  </r>
  <r>
    <x v="176"/>
    <x v="149"/>
    <x v="3"/>
    <x v="0"/>
    <x v="1"/>
    <s v="MEDIUM"/>
  </r>
  <r>
    <x v="177"/>
    <x v="29"/>
    <x v="154"/>
    <x v="2"/>
    <x v="2"/>
    <s v="HIGH"/>
  </r>
  <r>
    <x v="178"/>
    <x v="146"/>
    <x v="136"/>
    <x v="0"/>
    <x v="2"/>
    <s v="HIGH"/>
  </r>
  <r>
    <x v="179"/>
    <x v="150"/>
    <x v="149"/>
    <x v="2"/>
    <x v="0"/>
    <s v="MEDIUM"/>
  </r>
  <r>
    <x v="180"/>
    <x v="151"/>
    <x v="155"/>
    <x v="2"/>
    <x v="0"/>
    <s v="HIGH"/>
  </r>
  <r>
    <x v="181"/>
    <x v="152"/>
    <x v="156"/>
    <x v="2"/>
    <x v="1"/>
    <s v="HIGH"/>
  </r>
  <r>
    <x v="182"/>
    <x v="117"/>
    <x v="157"/>
    <x v="0"/>
    <x v="0"/>
    <s v="HIGH"/>
  </r>
  <r>
    <x v="183"/>
    <x v="148"/>
    <x v="121"/>
    <x v="1"/>
    <x v="0"/>
    <s v="MEDIUM"/>
  </r>
  <r>
    <x v="184"/>
    <x v="153"/>
    <x v="158"/>
    <x v="1"/>
    <x v="1"/>
    <s v="MEDIUM"/>
  </r>
  <r>
    <x v="185"/>
    <x v="154"/>
    <x v="159"/>
    <x v="0"/>
    <x v="1"/>
    <s v="HIGH"/>
  </r>
  <r>
    <x v="186"/>
    <x v="155"/>
    <x v="160"/>
    <x v="2"/>
    <x v="2"/>
    <s v="HIGH"/>
  </r>
  <r>
    <x v="187"/>
    <x v="156"/>
    <x v="159"/>
    <x v="0"/>
    <x v="1"/>
    <s v="HIGH"/>
  </r>
  <r>
    <x v="188"/>
    <x v="96"/>
    <x v="161"/>
    <x v="2"/>
    <x v="2"/>
    <s v="HIGH"/>
  </r>
  <r>
    <x v="189"/>
    <x v="157"/>
    <x v="162"/>
    <x v="0"/>
    <x v="1"/>
    <s v="HIGH"/>
  </r>
  <r>
    <x v="190"/>
    <x v="121"/>
    <x v="163"/>
    <x v="2"/>
    <x v="1"/>
    <s v="HIGH"/>
  </r>
  <r>
    <x v="191"/>
    <x v="62"/>
    <x v="164"/>
    <x v="1"/>
    <x v="1"/>
    <s v="HIGH"/>
  </r>
  <r>
    <x v="192"/>
    <x v="158"/>
    <x v="165"/>
    <x v="2"/>
    <x v="0"/>
    <s v="MEDIUM"/>
  </r>
  <r>
    <x v="193"/>
    <x v="19"/>
    <x v="166"/>
    <x v="2"/>
    <x v="0"/>
    <s v="HIGH"/>
  </r>
  <r>
    <x v="194"/>
    <x v="159"/>
    <x v="167"/>
    <x v="2"/>
    <x v="0"/>
    <s v="MEDIUM"/>
  </r>
  <r>
    <x v="195"/>
    <x v="47"/>
    <x v="48"/>
    <x v="2"/>
    <x v="0"/>
    <s v="HIGH"/>
  </r>
  <r>
    <x v="196"/>
    <x v="160"/>
    <x v="168"/>
    <x v="2"/>
    <x v="0"/>
    <s v="MEDIUM"/>
  </r>
  <r>
    <x v="197"/>
    <x v="161"/>
    <x v="169"/>
    <x v="1"/>
    <x v="2"/>
    <s v="HIGH"/>
  </r>
  <r>
    <x v="198"/>
    <x v="162"/>
    <x v="170"/>
    <x v="2"/>
    <x v="0"/>
    <s v="MEDIUM"/>
  </r>
  <r>
    <x v="199"/>
    <x v="163"/>
    <x v="171"/>
    <x v="2"/>
    <x v="2"/>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2">
  <location ref="A1:B4" firstHeaderRow="1" firstDataRow="1" firstDataCol="1"/>
  <pivotFields count="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 showAll="0">
      <items count="165">
        <item x="70"/>
        <item x="83"/>
        <item x="85"/>
        <item x="115"/>
        <item x="86"/>
        <item x="37"/>
        <item x="95"/>
        <item x="107"/>
        <item x="61"/>
        <item x="5"/>
        <item x="30"/>
        <item x="123"/>
        <item x="131"/>
        <item x="84"/>
        <item x="69"/>
        <item x="55"/>
        <item x="52"/>
        <item x="89"/>
        <item x="20"/>
        <item x="66"/>
        <item x="35"/>
        <item x="34"/>
        <item x="118"/>
        <item x="88"/>
        <item x="1"/>
        <item x="74"/>
        <item x="133"/>
        <item x="137"/>
        <item x="46"/>
        <item x="54"/>
        <item x="31"/>
        <item x="161"/>
        <item x="28"/>
        <item x="65"/>
        <item x="4"/>
        <item x="60"/>
        <item x="7"/>
        <item x="50"/>
        <item x="67"/>
        <item x="23"/>
        <item x="58"/>
        <item x="120"/>
        <item x="40"/>
        <item x="153"/>
        <item x="152"/>
        <item x="49"/>
        <item x="98"/>
        <item x="76"/>
        <item x="27"/>
        <item x="130"/>
        <item x="29"/>
        <item x="87"/>
        <item x="142"/>
        <item x="157"/>
        <item x="82"/>
        <item x="79"/>
        <item x="91"/>
        <item x="53"/>
        <item x="143"/>
        <item x="9"/>
        <item x="103"/>
        <item x="113"/>
        <item x="57"/>
        <item x="32"/>
        <item x="0"/>
        <item x="19"/>
        <item x="104"/>
        <item x="140"/>
        <item x="26"/>
        <item x="73"/>
        <item x="64"/>
        <item x="39"/>
        <item x="63"/>
        <item x="22"/>
        <item x="146"/>
        <item x="71"/>
        <item x="148"/>
        <item x="80"/>
        <item x="8"/>
        <item x="77"/>
        <item x="43"/>
        <item x="75"/>
        <item x="141"/>
        <item x="155"/>
        <item x="162"/>
        <item x="110"/>
        <item x="150"/>
        <item x="147"/>
        <item x="163"/>
        <item x="109"/>
        <item x="6"/>
        <item x="154"/>
        <item x="68"/>
        <item x="151"/>
        <item x="160"/>
        <item x="42"/>
        <item x="105"/>
        <item x="38"/>
        <item x="112"/>
        <item x="41"/>
        <item x="127"/>
        <item x="106"/>
        <item x="156"/>
        <item x="124"/>
        <item x="96"/>
        <item x="90"/>
        <item x="44"/>
        <item x="128"/>
        <item x="158"/>
        <item x="33"/>
        <item x="126"/>
        <item x="125"/>
        <item x="15"/>
        <item x="119"/>
        <item x="92"/>
        <item x="114"/>
        <item x="45"/>
        <item x="121"/>
        <item x="2"/>
        <item x="13"/>
        <item x="17"/>
        <item x="100"/>
        <item x="93"/>
        <item x="47"/>
        <item x="81"/>
        <item x="14"/>
        <item x="62"/>
        <item x="132"/>
        <item x="134"/>
        <item x="94"/>
        <item x="56"/>
        <item x="11"/>
        <item x="108"/>
        <item x="3"/>
        <item x="117"/>
        <item x="144"/>
        <item x="72"/>
        <item x="12"/>
        <item x="122"/>
        <item x="101"/>
        <item x="36"/>
        <item x="48"/>
        <item x="78"/>
        <item x="116"/>
        <item x="16"/>
        <item x="138"/>
        <item x="25"/>
        <item x="139"/>
        <item x="129"/>
        <item x="111"/>
        <item x="136"/>
        <item x="149"/>
        <item x="51"/>
        <item x="24"/>
        <item x="159"/>
        <item x="145"/>
        <item x="59"/>
        <item x="135"/>
        <item x="18"/>
        <item x="99"/>
        <item x="10"/>
        <item x="102"/>
        <item x="97"/>
        <item x="21"/>
        <item t="default"/>
      </items>
    </pivotField>
    <pivotField dataField="1" numFmtId="1" showAll="0">
      <items count="173">
        <item h="1" x="29"/>
        <item h="1" x="148"/>
        <item h="1" x="53"/>
        <item h="1" x="13"/>
        <item h="1" x="144"/>
        <item h="1" x="120"/>
        <item h="1" x="56"/>
        <item h="1" x="121"/>
        <item h="1" x="167"/>
        <item h="1" x="150"/>
        <item h="1" x="123"/>
        <item h="1" x="63"/>
        <item h="1" x="32"/>
        <item h="1" x="22"/>
        <item h="1" x="124"/>
        <item h="1" x="81"/>
        <item h="1" x="130"/>
        <item h="1" x="24"/>
        <item h="1" x="87"/>
        <item h="1" x="170"/>
        <item h="1" x="28"/>
        <item h="1" x="113"/>
        <item h="1" x="134"/>
        <item h="1" x="137"/>
        <item h="1" x="115"/>
        <item h="1" x="41"/>
        <item h="1" x="52"/>
        <item h="1" x="65"/>
        <item h="1" x="149"/>
        <item h="1" x="38"/>
        <item h="1" x="58"/>
        <item h="1" x="27"/>
        <item h="1" x="84"/>
        <item h="1" x="138"/>
        <item h="1" x="165"/>
        <item h="1" x="82"/>
        <item h="1" x="93"/>
        <item h="1" x="132"/>
        <item h="1" x="127"/>
        <item h="1" x="6"/>
        <item h="1" x="99"/>
        <item h="1" x="21"/>
        <item h="1" x="35"/>
        <item h="1" x="140"/>
        <item h="1" x="135"/>
        <item h="1" x="11"/>
        <item h="1" x="37"/>
        <item h="1" x="31"/>
        <item h="1" x="59"/>
        <item h="1" x="116"/>
        <item h="1" x="168"/>
        <item h="1" x="129"/>
        <item h="1" x="16"/>
        <item h="1" x="96"/>
        <item h="1" x="7"/>
        <item h="1" x="3"/>
        <item h="1" x="158"/>
        <item h="1" x="46"/>
        <item h="1" x="20"/>
        <item h="1" x="1"/>
        <item h="1" x="164"/>
        <item h="1" x="77"/>
        <item h="1" x="122"/>
        <item h="1" x="114"/>
        <item h="1" x="151"/>
        <item h="1" x="66"/>
        <item h="1" x="9"/>
        <item h="1" x="68"/>
        <item h="1" x="60"/>
        <item h="1" x="103"/>
        <item h="1" x="71"/>
        <item h="1" x="67"/>
        <item h="1" x="76"/>
        <item h="1" x="70"/>
        <item h="1" x="136"/>
        <item h="1" x="139"/>
        <item h="1" x="78"/>
        <item h="1" x="89"/>
        <item h="1" x="143"/>
        <item h="1" x="5"/>
        <item h="1" x="109"/>
        <item h="1" x="146"/>
        <item h="1" x="169"/>
        <item h="1" x="75"/>
        <item h="1" x="153"/>
        <item h="1" x="61"/>
        <item h="1" x="104"/>
        <item h="1" x="57"/>
        <item h="1" x="44"/>
        <item h="1" x="98"/>
        <item x="161"/>
        <item h="1" x="50"/>
        <item h="1" x="94"/>
        <item h="1" x="133"/>
        <item h="1" x="91"/>
        <item h="1" x="8"/>
        <item h="1" x="106"/>
        <item h="1" x="147"/>
        <item h="1" x="69"/>
        <item h="1" x="125"/>
        <item h="1" x="156"/>
        <item h="1" x="40"/>
        <item h="1" x="85"/>
        <item h="1" x="111"/>
        <item h="1" x="49"/>
        <item h="1" x="107"/>
        <item h="1" x="117"/>
        <item h="1" x="45"/>
        <item h="1" x="51"/>
        <item h="1" x="159"/>
        <item h="1" x="102"/>
        <item h="1" x="97"/>
        <item h="1" x="110"/>
        <item h="1" x="105"/>
        <item h="1" x="141"/>
        <item h="1" x="64"/>
        <item h="1" x="48"/>
        <item h="1" x="2"/>
        <item h="1" x="171"/>
        <item h="1" x="92"/>
        <item h="1" x="118"/>
        <item h="1" x="131"/>
        <item h="1" x="101"/>
        <item h="1" x="43"/>
        <item h="1" x="4"/>
        <item h="1" x="14"/>
        <item h="1" x="17"/>
        <item h="1" x="79"/>
        <item h="1" x="128"/>
        <item h="1" x="157"/>
        <item h="1" x="18"/>
        <item h="1" x="47"/>
        <item h="1" x="86"/>
        <item h="1" x="142"/>
        <item h="1" x="155"/>
        <item h="1" x="54"/>
        <item h="1" x="152"/>
        <item h="1" x="95"/>
        <item h="1" x="163"/>
        <item h="1" x="15"/>
        <item h="1" x="74"/>
        <item h="1" x="119"/>
        <item h="1" x="25"/>
        <item h="1" x="145"/>
        <item h="1" x="160"/>
        <item h="1" x="26"/>
        <item h="1" x="83"/>
        <item h="1" x="33"/>
        <item h="1" x="10"/>
        <item h="1" x="30"/>
        <item h="1" x="55"/>
        <item h="1" x="42"/>
        <item h="1" x="19"/>
        <item h="1" x="34"/>
        <item h="1" x="88"/>
        <item h="1" x="72"/>
        <item h="1" x="12"/>
        <item h="1" x="112"/>
        <item h="1" x="23"/>
        <item h="1" x="100"/>
        <item h="1" x="0"/>
        <item h="1" x="80"/>
        <item h="1" x="73"/>
        <item h="1" x="39"/>
        <item h="1" x="62"/>
        <item h="1" x="108"/>
        <item h="1" x="162"/>
        <item h="1" x="90"/>
        <item h="1" x="126"/>
        <item h="1" x="166"/>
        <item h="1" x="154"/>
        <item h="1" x="36"/>
        <item t="default"/>
      </items>
    </pivotField>
    <pivotField axis="axisRow" showAll="0">
      <items count="4">
        <item x="2"/>
        <item x="0"/>
        <item x="1"/>
        <item t="default"/>
      </items>
    </pivotField>
    <pivotField showAll="0"/>
    <pivotField showAll="0"/>
  </pivotFields>
  <rowFields count="1">
    <field x="3"/>
  </rowFields>
  <rowItems count="3">
    <i>
      <x/>
    </i>
    <i>
      <x v="1"/>
    </i>
    <i>
      <x v="2"/>
    </i>
  </rowItems>
  <colItems count="1">
    <i/>
  </colItems>
  <dataFields count="1">
    <dataField name="Count of cgpa" fld="2"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826C12-EF00-4C66-AFF4-E4D709974BDE}" name="PivotTable7" cacheId="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6">
  <location ref="A48:B5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Average of cgpa" fld="1" subtotal="average" baseField="0" baseItem="0"/>
  </dataFields>
  <formats count="1">
    <format dxfId="5">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Max of cgpa"/>
    <pivotHierarchy dragToData="1" caption="Average of cgpa"/>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al lif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8C0DE-FB4D-4681-A21C-265D584BCBDF}" name="PivotTable3"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8">
  <location ref="A31:B34" firstHeaderRow="1" firstDataRow="1" firstDataCol="1"/>
  <pivotFields count="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numFmtId="1" showAll="0">
      <items count="165">
        <item x="70"/>
        <item x="83"/>
        <item x="85"/>
        <item x="115"/>
        <item x="86"/>
        <item x="37"/>
        <item x="95"/>
        <item x="107"/>
        <item x="61"/>
        <item x="5"/>
        <item x="30"/>
        <item x="123"/>
        <item x="131"/>
        <item x="84"/>
        <item x="69"/>
        <item x="55"/>
        <item x="52"/>
        <item x="89"/>
        <item x="20"/>
        <item x="66"/>
        <item x="35"/>
        <item x="34"/>
        <item x="118"/>
        <item x="88"/>
        <item x="1"/>
        <item x="74"/>
        <item x="133"/>
        <item x="137"/>
        <item x="46"/>
        <item x="54"/>
        <item x="31"/>
        <item x="161"/>
        <item x="28"/>
        <item x="65"/>
        <item x="4"/>
        <item x="60"/>
        <item x="7"/>
        <item x="50"/>
        <item x="67"/>
        <item x="23"/>
        <item x="58"/>
        <item x="120"/>
        <item x="40"/>
        <item x="153"/>
        <item x="152"/>
        <item x="49"/>
        <item x="98"/>
        <item x="76"/>
        <item x="27"/>
        <item x="130"/>
        <item x="29"/>
        <item x="87"/>
        <item x="142"/>
        <item x="157"/>
        <item x="82"/>
        <item x="79"/>
        <item x="91"/>
        <item x="53"/>
        <item x="143"/>
        <item x="9"/>
        <item x="103"/>
        <item x="113"/>
        <item x="57"/>
        <item x="32"/>
        <item x="0"/>
        <item x="19"/>
        <item x="104"/>
        <item x="140"/>
        <item x="26"/>
        <item x="73"/>
        <item x="64"/>
        <item x="39"/>
        <item x="63"/>
        <item x="22"/>
        <item x="146"/>
        <item x="71"/>
        <item x="148"/>
        <item x="80"/>
        <item x="8"/>
        <item x="77"/>
        <item x="43"/>
        <item x="75"/>
        <item x="141"/>
        <item x="155"/>
        <item x="162"/>
        <item x="110"/>
        <item x="150"/>
        <item x="147"/>
        <item x="163"/>
        <item x="109"/>
        <item x="6"/>
        <item x="154"/>
        <item x="68"/>
        <item x="151"/>
        <item x="160"/>
        <item x="42"/>
        <item x="105"/>
        <item x="38"/>
        <item x="112"/>
        <item x="41"/>
        <item x="127"/>
        <item x="106"/>
        <item x="156"/>
        <item x="124"/>
        <item x="96"/>
        <item x="90"/>
        <item x="44"/>
        <item x="128"/>
        <item x="158"/>
        <item x="33"/>
        <item x="126"/>
        <item x="125"/>
        <item x="15"/>
        <item x="119"/>
        <item x="92"/>
        <item x="114"/>
        <item x="45"/>
        <item x="121"/>
        <item x="2"/>
        <item x="13"/>
        <item x="17"/>
        <item x="100"/>
        <item x="93"/>
        <item x="47"/>
        <item x="81"/>
        <item x="14"/>
        <item x="62"/>
        <item x="132"/>
        <item x="134"/>
        <item x="94"/>
        <item x="56"/>
        <item x="11"/>
        <item x="108"/>
        <item x="3"/>
        <item x="117"/>
        <item x="144"/>
        <item x="72"/>
        <item x="12"/>
        <item x="122"/>
        <item x="101"/>
        <item x="36"/>
        <item x="48"/>
        <item x="78"/>
        <item x="116"/>
        <item x="16"/>
        <item x="138"/>
        <item x="25"/>
        <item x="139"/>
        <item x="129"/>
        <item x="111"/>
        <item x="136"/>
        <item x="149"/>
        <item x="51"/>
        <item x="24"/>
        <item x="159"/>
        <item x="145"/>
        <item x="59"/>
        <item x="135"/>
        <item x="18"/>
        <item x="99"/>
        <item x="10"/>
        <item x="102"/>
        <item x="97"/>
        <item x="21"/>
        <item t="default"/>
      </items>
    </pivotField>
    <pivotField numFmtId="1" showAll="0">
      <items count="173">
        <item h="1" x="29"/>
        <item h="1" x="148"/>
        <item h="1" x="53"/>
        <item h="1" x="13"/>
        <item h="1" x="144"/>
        <item h="1" x="120"/>
        <item h="1" x="56"/>
        <item h="1" x="121"/>
        <item h="1" x="167"/>
        <item h="1" x="150"/>
        <item h="1" x="123"/>
        <item h="1" x="63"/>
        <item h="1" x="32"/>
        <item h="1" x="22"/>
        <item h="1" x="124"/>
        <item h="1" x="81"/>
        <item h="1" x="130"/>
        <item h="1" x="24"/>
        <item h="1" x="87"/>
        <item h="1" x="170"/>
        <item h="1" x="28"/>
        <item h="1" x="113"/>
        <item h="1" x="134"/>
        <item h="1" x="137"/>
        <item h="1" x="115"/>
        <item h="1" x="41"/>
        <item h="1" x="52"/>
        <item h="1" x="65"/>
        <item h="1" x="149"/>
        <item h="1" x="38"/>
        <item h="1" x="58"/>
        <item h="1" x="27"/>
        <item h="1" x="84"/>
        <item h="1" x="138"/>
        <item h="1" x="165"/>
        <item h="1" x="82"/>
        <item h="1" x="93"/>
        <item h="1" x="132"/>
        <item h="1" x="127"/>
        <item h="1" x="6"/>
        <item h="1" x="99"/>
        <item h="1" x="21"/>
        <item h="1" x="35"/>
        <item h="1" x="140"/>
        <item h="1" x="135"/>
        <item h="1" x="11"/>
        <item h="1" x="37"/>
        <item h="1" x="31"/>
        <item h="1" x="59"/>
        <item h="1" x="116"/>
        <item h="1" x="168"/>
        <item h="1" x="129"/>
        <item h="1" x="16"/>
        <item h="1" x="96"/>
        <item h="1" x="7"/>
        <item h="1" x="3"/>
        <item h="1" x="158"/>
        <item h="1" x="46"/>
        <item h="1" x="20"/>
        <item h="1" x="1"/>
        <item h="1" x="164"/>
        <item h="1" x="77"/>
        <item h="1" x="122"/>
        <item h="1" x="114"/>
        <item h="1" x="151"/>
        <item h="1" x="66"/>
        <item h="1" x="9"/>
        <item h="1" x="68"/>
        <item h="1" x="60"/>
        <item h="1" x="103"/>
        <item h="1" x="71"/>
        <item h="1" x="67"/>
        <item h="1" x="76"/>
        <item h="1" x="70"/>
        <item h="1" x="136"/>
        <item h="1" x="139"/>
        <item h="1" x="78"/>
        <item h="1" x="89"/>
        <item h="1" x="143"/>
        <item h="1" x="5"/>
        <item h="1" x="109"/>
        <item h="1" x="146"/>
        <item h="1" x="169"/>
        <item h="1" x="75"/>
        <item h="1" x="153"/>
        <item h="1" x="61"/>
        <item h="1" x="104"/>
        <item h="1" x="57"/>
        <item h="1" x="44"/>
        <item h="1" x="98"/>
        <item x="161"/>
        <item h="1" x="50"/>
        <item h="1" x="94"/>
        <item h="1" x="133"/>
        <item h="1" x="91"/>
        <item h="1" x="8"/>
        <item h="1" x="106"/>
        <item h="1" x="147"/>
        <item h="1" x="69"/>
        <item h="1" x="125"/>
        <item h="1" x="156"/>
        <item h="1" x="40"/>
        <item h="1" x="85"/>
        <item h="1" x="111"/>
        <item h="1" x="49"/>
        <item h="1" x="107"/>
        <item h="1" x="117"/>
        <item h="1" x="45"/>
        <item h="1" x="51"/>
        <item h="1" x="159"/>
        <item h="1" x="102"/>
        <item h="1" x="97"/>
        <item h="1" x="110"/>
        <item h="1" x="105"/>
        <item h="1" x="141"/>
        <item h="1" x="64"/>
        <item h="1" x="48"/>
        <item h="1" x="2"/>
        <item h="1" x="171"/>
        <item h="1" x="92"/>
        <item h="1" x="118"/>
        <item h="1" x="131"/>
        <item h="1" x="101"/>
        <item h="1" x="43"/>
        <item h="1" x="4"/>
        <item h="1" x="14"/>
        <item h="1" x="17"/>
        <item h="1" x="79"/>
        <item h="1" x="128"/>
        <item h="1" x="157"/>
        <item h="1" x="18"/>
        <item h="1" x="47"/>
        <item h="1" x="86"/>
        <item h="1" x="142"/>
        <item h="1" x="155"/>
        <item h="1" x="54"/>
        <item h="1" x="152"/>
        <item h="1" x="95"/>
        <item h="1" x="163"/>
        <item h="1" x="15"/>
        <item h="1" x="74"/>
        <item h="1" x="119"/>
        <item h="1" x="25"/>
        <item h="1" x="145"/>
        <item h="1" x="160"/>
        <item h="1" x="26"/>
        <item h="1" x="83"/>
        <item h="1" x="33"/>
        <item h="1" x="10"/>
        <item h="1" x="30"/>
        <item h="1" x="55"/>
        <item h="1" x="42"/>
        <item h="1" x="19"/>
        <item h="1" x="34"/>
        <item h="1" x="88"/>
        <item h="1" x="72"/>
        <item h="1" x="12"/>
        <item h="1" x="112"/>
        <item h="1" x="23"/>
        <item h="1" x="100"/>
        <item h="1" x="0"/>
        <item h="1" x="80"/>
        <item h="1" x="73"/>
        <item h="1" x="39"/>
        <item h="1" x="62"/>
        <item h="1" x="108"/>
        <item h="1" x="162"/>
        <item h="1" x="90"/>
        <item h="1" x="126"/>
        <item h="1" x="166"/>
        <item h="1" x="154"/>
        <item h="1" x="36"/>
        <item t="default"/>
      </items>
    </pivotField>
    <pivotField axis="axisRow" showAll="0">
      <items count="4">
        <item x="2"/>
        <item x="0"/>
        <item x="1"/>
        <item t="default"/>
      </items>
    </pivotField>
    <pivotField showAll="0">
      <items count="4">
        <item x="0"/>
        <item x="1"/>
        <item x="2"/>
        <item t="default"/>
      </items>
    </pivotField>
    <pivotField showAll="0"/>
  </pivotFields>
  <rowFields count="1">
    <field x="3"/>
  </rowFields>
  <rowItems count="3">
    <i>
      <x/>
    </i>
    <i>
      <x v="1"/>
    </i>
    <i>
      <x v="2"/>
    </i>
  </rowItems>
  <colItems count="1">
    <i/>
  </colItems>
  <dataFields count="1">
    <dataField name="Average of attendance_percentage" fld="1" subtotal="average" baseField="3" baseItem="1" numFmtId="1"/>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5">
  <location ref="A18:B21" firstHeaderRow="1" firstDataRow="1" firstDataCol="1"/>
  <pivotFields count="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 showAll="0">
      <items count="165">
        <item x="70"/>
        <item x="83"/>
        <item x="85"/>
        <item x="115"/>
        <item x="86"/>
        <item x="37"/>
        <item x="95"/>
        <item x="107"/>
        <item x="61"/>
        <item x="5"/>
        <item x="30"/>
        <item x="123"/>
        <item x="131"/>
        <item x="84"/>
        <item x="69"/>
        <item x="55"/>
        <item x="52"/>
        <item x="89"/>
        <item x="20"/>
        <item x="66"/>
        <item x="35"/>
        <item x="34"/>
        <item x="118"/>
        <item x="88"/>
        <item x="1"/>
        <item x="74"/>
        <item x="133"/>
        <item x="137"/>
        <item x="46"/>
        <item x="54"/>
        <item x="31"/>
        <item x="161"/>
        <item x="28"/>
        <item x="65"/>
        <item x="4"/>
        <item x="60"/>
        <item x="7"/>
        <item x="50"/>
        <item x="67"/>
        <item x="23"/>
        <item x="58"/>
        <item x="120"/>
        <item x="40"/>
        <item x="153"/>
        <item x="152"/>
        <item x="49"/>
        <item x="98"/>
        <item x="76"/>
        <item x="27"/>
        <item x="130"/>
        <item x="29"/>
        <item x="87"/>
        <item x="142"/>
        <item x="157"/>
        <item x="82"/>
        <item x="79"/>
        <item x="91"/>
        <item x="53"/>
        <item x="143"/>
        <item x="9"/>
        <item x="103"/>
        <item x="113"/>
        <item x="57"/>
        <item x="32"/>
        <item x="0"/>
        <item x="19"/>
        <item x="104"/>
        <item x="140"/>
        <item x="26"/>
        <item x="73"/>
        <item x="64"/>
        <item x="39"/>
        <item x="63"/>
        <item x="22"/>
        <item x="146"/>
        <item x="71"/>
        <item x="148"/>
        <item x="80"/>
        <item x="8"/>
        <item x="77"/>
        <item x="43"/>
        <item x="75"/>
        <item x="141"/>
        <item x="155"/>
        <item x="162"/>
        <item x="110"/>
        <item x="150"/>
        <item x="147"/>
        <item x="163"/>
        <item x="109"/>
        <item x="6"/>
        <item x="154"/>
        <item x="68"/>
        <item x="151"/>
        <item x="160"/>
        <item x="42"/>
        <item x="105"/>
        <item x="38"/>
        <item x="112"/>
        <item x="41"/>
        <item x="127"/>
        <item x="106"/>
        <item x="156"/>
        <item x="124"/>
        <item x="96"/>
        <item x="90"/>
        <item x="44"/>
        <item x="128"/>
        <item x="158"/>
        <item x="33"/>
        <item x="126"/>
        <item x="125"/>
        <item x="15"/>
        <item x="119"/>
        <item x="92"/>
        <item x="114"/>
        <item x="45"/>
        <item x="121"/>
        <item x="2"/>
        <item x="13"/>
        <item x="17"/>
        <item x="100"/>
        <item x="93"/>
        <item x="47"/>
        <item x="81"/>
        <item x="14"/>
        <item x="62"/>
        <item x="132"/>
        <item x="134"/>
        <item x="94"/>
        <item x="56"/>
        <item x="11"/>
        <item x="108"/>
        <item x="3"/>
        <item x="117"/>
        <item x="144"/>
        <item x="72"/>
        <item x="12"/>
        <item x="122"/>
        <item x="101"/>
        <item x="36"/>
        <item x="48"/>
        <item x="78"/>
        <item x="116"/>
        <item x="16"/>
        <item x="138"/>
        <item x="25"/>
        <item x="139"/>
        <item x="129"/>
        <item x="111"/>
        <item x="136"/>
        <item x="149"/>
        <item x="51"/>
        <item x="24"/>
        <item x="159"/>
        <item x="145"/>
        <item x="59"/>
        <item x="135"/>
        <item x="18"/>
        <item x="99"/>
        <item x="10"/>
        <item x="102"/>
        <item x="97"/>
        <item x="21"/>
        <item t="default"/>
      </items>
    </pivotField>
    <pivotField dataField="1" numFmtId="1" showAll="0">
      <items count="173">
        <item h="1" x="29"/>
        <item h="1" x="148"/>
        <item h="1" x="53"/>
        <item h="1" x="13"/>
        <item h="1" x="144"/>
        <item h="1" x="120"/>
        <item h="1" x="56"/>
        <item h="1" x="121"/>
        <item h="1" x="167"/>
        <item h="1" x="150"/>
        <item h="1" x="123"/>
        <item h="1" x="63"/>
        <item h="1" x="32"/>
        <item h="1" x="22"/>
        <item h="1" x="124"/>
        <item h="1" x="81"/>
        <item h="1" x="130"/>
        <item h="1" x="24"/>
        <item h="1" x="87"/>
        <item h="1" x="170"/>
        <item h="1" x="28"/>
        <item h="1" x="113"/>
        <item h="1" x="134"/>
        <item h="1" x="137"/>
        <item h="1" x="115"/>
        <item h="1" x="41"/>
        <item h="1" x="52"/>
        <item h="1" x="65"/>
        <item h="1" x="149"/>
        <item h="1" x="38"/>
        <item h="1" x="58"/>
        <item h="1" x="27"/>
        <item h="1" x="84"/>
        <item h="1" x="138"/>
        <item h="1" x="165"/>
        <item h="1" x="82"/>
        <item h="1" x="93"/>
        <item h="1" x="132"/>
        <item h="1" x="127"/>
        <item h="1" x="6"/>
        <item h="1" x="99"/>
        <item h="1" x="21"/>
        <item h="1" x="35"/>
        <item h="1" x="140"/>
        <item h="1" x="135"/>
        <item h="1" x="11"/>
        <item h="1" x="37"/>
        <item h="1" x="31"/>
        <item h="1" x="59"/>
        <item h="1" x="116"/>
        <item h="1" x="168"/>
        <item h="1" x="129"/>
        <item h="1" x="16"/>
        <item h="1" x="96"/>
        <item h="1" x="7"/>
        <item h="1" x="3"/>
        <item h="1" x="158"/>
        <item h="1" x="46"/>
        <item h="1" x="20"/>
        <item h="1" x="1"/>
        <item h="1" x="164"/>
        <item h="1" x="77"/>
        <item h="1" x="122"/>
        <item h="1" x="114"/>
        <item h="1" x="151"/>
        <item h="1" x="66"/>
        <item h="1" x="9"/>
        <item h="1" x="68"/>
        <item h="1" x="60"/>
        <item h="1" x="103"/>
        <item h="1" x="71"/>
        <item h="1" x="67"/>
        <item h="1" x="76"/>
        <item h="1" x="70"/>
        <item h="1" x="136"/>
        <item h="1" x="139"/>
        <item h="1" x="78"/>
        <item h="1" x="89"/>
        <item h="1" x="143"/>
        <item h="1" x="5"/>
        <item h="1" x="109"/>
        <item h="1" x="146"/>
        <item h="1" x="169"/>
        <item h="1" x="75"/>
        <item h="1" x="153"/>
        <item h="1" x="61"/>
        <item h="1" x="104"/>
        <item h="1" x="57"/>
        <item h="1" x="44"/>
        <item h="1" x="98"/>
        <item x="161"/>
        <item h="1" x="50"/>
        <item h="1" x="94"/>
        <item h="1" x="133"/>
        <item h="1" x="91"/>
        <item h="1" x="8"/>
        <item h="1" x="106"/>
        <item h="1" x="147"/>
        <item h="1" x="69"/>
        <item h="1" x="125"/>
        <item h="1" x="156"/>
        <item h="1" x="40"/>
        <item h="1" x="85"/>
        <item h="1" x="111"/>
        <item h="1" x="49"/>
        <item h="1" x="107"/>
        <item h="1" x="117"/>
        <item h="1" x="45"/>
        <item h="1" x="51"/>
        <item h="1" x="159"/>
        <item h="1" x="102"/>
        <item h="1" x="97"/>
        <item h="1" x="110"/>
        <item h="1" x="105"/>
        <item h="1" x="141"/>
        <item h="1" x="64"/>
        <item h="1" x="48"/>
        <item h="1" x="2"/>
        <item h="1" x="171"/>
        <item h="1" x="92"/>
        <item h="1" x="118"/>
        <item h="1" x="131"/>
        <item h="1" x="101"/>
        <item h="1" x="43"/>
        <item h="1" x="4"/>
        <item h="1" x="14"/>
        <item h="1" x="17"/>
        <item h="1" x="79"/>
        <item h="1" x="128"/>
        <item h="1" x="157"/>
        <item h="1" x="18"/>
        <item h="1" x="47"/>
        <item h="1" x="86"/>
        <item h="1" x="142"/>
        <item h="1" x="155"/>
        <item h="1" x="54"/>
        <item h="1" x="152"/>
        <item h="1" x="95"/>
        <item h="1" x="163"/>
        <item h="1" x="15"/>
        <item h="1" x="74"/>
        <item h="1" x="119"/>
        <item h="1" x="25"/>
        <item h="1" x="145"/>
        <item h="1" x="160"/>
        <item h="1" x="26"/>
        <item h="1" x="83"/>
        <item h="1" x="33"/>
        <item h="1" x="10"/>
        <item h="1" x="30"/>
        <item h="1" x="55"/>
        <item h="1" x="42"/>
        <item h="1" x="19"/>
        <item h="1" x="34"/>
        <item h="1" x="88"/>
        <item h="1" x="72"/>
        <item h="1" x="12"/>
        <item h="1" x="112"/>
        <item h="1" x="23"/>
        <item h="1" x="100"/>
        <item h="1" x="0"/>
        <item h="1" x="80"/>
        <item h="1" x="73"/>
        <item h="1" x="39"/>
        <item h="1" x="62"/>
        <item h="1" x="108"/>
        <item h="1" x="162"/>
        <item h="1" x="90"/>
        <item h="1" x="126"/>
        <item h="1" x="166"/>
        <item h="1" x="154"/>
        <item h="1" x="36"/>
        <item t="default"/>
      </items>
    </pivotField>
    <pivotField showAll="0">
      <items count="4">
        <item x="2"/>
        <item x="0"/>
        <item x="1"/>
        <item t="default"/>
      </items>
    </pivotField>
    <pivotField axis="axisRow" showAll="0">
      <items count="4">
        <item x="0"/>
        <item x="1"/>
        <item x="2"/>
        <item t="default"/>
      </items>
    </pivotField>
    <pivotField showAll="0"/>
  </pivotFields>
  <rowFields count="1">
    <field x="4"/>
  </rowFields>
  <rowItems count="3">
    <i>
      <x/>
    </i>
    <i>
      <x v="1"/>
    </i>
    <i>
      <x v="2"/>
    </i>
  </rowItems>
  <colItems count="1">
    <i/>
  </colItems>
  <dataFields count="1">
    <dataField name="Average of cgpa" fld="2" subtotal="average" baseField="1" baseItem="6"/>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_Grades" xr10:uid="{FBBDFFE7-2128-42E6-8D94-6F0E363DE99B}" sourceName="[Table2].[Att Grades]">
  <pivotTables>
    <pivotTable tabId="2" name="PivotTable7"/>
  </pivotTables>
  <data>
    <olap pivotCacheId="1714442346">
      <levels count="2">
        <level uniqueName="[Table2].[Att Grades].[(All)]" sourceCaption="(All)" count="0"/>
        <level uniqueName="[Table2].[Att Grades].[Att Grades]" sourceCaption="Att Grades" count="3">
          <ranges>
            <range startItem="0">
              <i n="[Table2].[Att Grades].&amp;[High]" c="High"/>
              <i n="[Table2].[Att Grades].&amp;[Low]" c="Low"/>
              <i n="[Table2].[Att Grades].&amp;[Medium]" c="Medium"/>
            </range>
          </ranges>
        </level>
      </levels>
      <selections count="1">
        <selection n="[Table2].[Att Grad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quality" xr10:uid="{8DC3A07F-5EB9-4BEC-9DA0-A82A5234D044}" sourceName="internet_quality">
  <pivotTables>
    <pivotTable tabId="2" name="PivotTable3"/>
    <pivotTable tabId="2" name="PivotTable1"/>
    <pivotTable tabId="2" name="PivotTable2"/>
  </pivotTables>
  <data>
    <tabular pivotCacheId="25982476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F8333F7E-DFED-4688-8054-22C6CC111A0D}" sourceName="student_id">
  <pivotTables>
    <pivotTable tabId="2" name="PivotTable3"/>
    <pivotTable tabId="2" name="PivotTable1"/>
    <pivotTable tabId="2" name="PivotTable2"/>
  </pivotTables>
  <data>
    <tabular pivotCacheId="259824761">
      <items count="2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 Grades" xr10:uid="{5CC0A498-7F8E-4971-9DFA-668AF7FE4DEA}" cache="Slicer_Att_Grades" caption="Att Grades" level="1" style="SlicerStyleLight4" rowHeight="182880"/>
  <slicer name="internet_quality" xr10:uid="{B8EA1C93-AC93-45F3-ABA5-92EA1BC95519}" cache="Slicer_internet_quality" caption="internet_quality" style="SlicerStyleLight4" rowHeight="182880"/>
  <slicer name="student_id" xr10:uid="{524D440C-B229-4F56-8FA6-0CD05CF2CC32}" cache="Slicer_student_id" caption="S.I"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F201" totalsRowShown="0">
  <autoFilter ref="A1:F201" xr:uid="{00000000-0009-0000-0100-000002000000}"/>
  <tableColumns count="6">
    <tableColumn id="1" xr3:uid="{00000000-0010-0000-0000-000001000000}" name="student_id"/>
    <tableColumn id="2" xr3:uid="{00000000-0010-0000-0000-000002000000}" name="attendance_percentage" dataDxfId="8"/>
    <tableColumn id="3" xr3:uid="{00000000-0010-0000-0000-000003000000}" name="cgpa" dataDxfId="7"/>
    <tableColumn id="4" xr3:uid="{00000000-0010-0000-0000-000004000000}" name="internet_quality"/>
    <tableColumn id="5" xr3:uid="{00000000-0010-0000-0000-000005000000}" name="burnout_level"/>
    <tableColumn id="6" xr3:uid="{00000000-0010-0000-0000-000006000000}" name="Att Grades" dataDxfId="6">
      <calculatedColumnFormula>_xlfn.IFS(B2 &lt;=60, "Low", B2 &lt;=80, "Medium", B2 &lt;=100,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653B-52AD-4D34-8D41-526DFAE30983}">
  <dimension ref="A1"/>
  <sheetViews>
    <sheetView showGridLines="0" tabSelected="1" zoomScaleNormal="100" workbookViewId="0">
      <selection activeCell="C5" sqref="C5"/>
    </sheetView>
  </sheetViews>
  <sheetFormatPr defaultRowHeight="15" x14ac:dyDescent="0.25"/>
  <cols>
    <col min="1" max="16384" width="9.140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R61"/>
  <sheetViews>
    <sheetView showGridLines="0" topLeftCell="A34" workbookViewId="0">
      <selection activeCell="AD43" sqref="AD43"/>
    </sheetView>
  </sheetViews>
  <sheetFormatPr defaultRowHeight="15" x14ac:dyDescent="0.25"/>
  <cols>
    <col min="1" max="1" width="18.5703125" customWidth="1"/>
    <col min="2" max="2" width="15.140625" bestFit="1" customWidth="1"/>
    <col min="3" max="163" width="3" bestFit="1" customWidth="1"/>
    <col min="164" max="165" width="4" bestFit="1" customWidth="1"/>
    <col min="166" max="166" width="11.28515625" bestFit="1" customWidth="1"/>
    <col min="167" max="173" width="3" bestFit="1" customWidth="1"/>
    <col min="174" max="174" width="11.28515625" bestFit="1" customWidth="1"/>
  </cols>
  <sheetData>
    <row r="1" spans="1:2" x14ac:dyDescent="0.25">
      <c r="A1" s="2" t="s">
        <v>11</v>
      </c>
      <c r="B1" t="s">
        <v>15</v>
      </c>
    </row>
    <row r="2" spans="1:2" x14ac:dyDescent="0.25">
      <c r="A2" s="3" t="s">
        <v>9</v>
      </c>
      <c r="B2" s="6">
        <v>81</v>
      </c>
    </row>
    <row r="3" spans="1:2" x14ac:dyDescent="0.25">
      <c r="A3" s="3" t="s">
        <v>5</v>
      </c>
      <c r="B3" s="6">
        <v>65</v>
      </c>
    </row>
    <row r="4" spans="1:2" x14ac:dyDescent="0.25">
      <c r="A4" s="3" t="s">
        <v>7</v>
      </c>
      <c r="B4" s="6">
        <v>54</v>
      </c>
    </row>
    <row r="18" spans="1:174" x14ac:dyDescent="0.25">
      <c r="A18" s="2" t="s">
        <v>11</v>
      </c>
      <c r="B18" t="s">
        <v>12</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row>
    <row r="19" spans="1:174" x14ac:dyDescent="0.25">
      <c r="A19" s="3" t="s">
        <v>6</v>
      </c>
      <c r="B19" s="6">
        <v>6.955454545454546</v>
      </c>
    </row>
    <row r="20" spans="1:174" x14ac:dyDescent="0.25">
      <c r="A20" s="3" t="s">
        <v>8</v>
      </c>
      <c r="B20" s="6">
        <v>7.2215476190476178</v>
      </c>
    </row>
    <row r="21" spans="1:174" x14ac:dyDescent="0.25">
      <c r="A21" s="3" t="s">
        <v>10</v>
      </c>
      <c r="B21" s="6">
        <v>7.0827868852458993</v>
      </c>
    </row>
    <row r="31" spans="1:174" x14ac:dyDescent="0.25">
      <c r="A31" s="2" t="s">
        <v>11</v>
      </c>
      <c r="B31" t="s">
        <v>14</v>
      </c>
    </row>
    <row r="32" spans="1:174" x14ac:dyDescent="0.25">
      <c r="A32" s="3" t="s">
        <v>9</v>
      </c>
      <c r="B32" s="1">
        <v>72.620987654320999</v>
      </c>
    </row>
    <row r="33" spans="1:2" x14ac:dyDescent="0.25">
      <c r="A33" s="3" t="s">
        <v>5</v>
      </c>
      <c r="B33" s="1">
        <v>75.616923076923058</v>
      </c>
    </row>
    <row r="34" spans="1:2" x14ac:dyDescent="0.25">
      <c r="A34" s="3" t="s">
        <v>7</v>
      </c>
      <c r="B34" s="1">
        <v>73.779629629629625</v>
      </c>
    </row>
    <row r="48" spans="1:2" x14ac:dyDescent="0.25">
      <c r="A48" s="2" t="s">
        <v>11</v>
      </c>
      <c r="B48" t="s">
        <v>12</v>
      </c>
    </row>
    <row r="49" spans="1:2" x14ac:dyDescent="0.25">
      <c r="A49" s="3" t="s">
        <v>6</v>
      </c>
      <c r="B49" s="5">
        <v>7.2173170731707321</v>
      </c>
    </row>
    <row r="50" spans="1:2" x14ac:dyDescent="0.25">
      <c r="A50" s="3" t="s">
        <v>8</v>
      </c>
      <c r="B50" s="5">
        <v>7.0781818181818181</v>
      </c>
    </row>
    <row r="51" spans="1:2" x14ac:dyDescent="0.25">
      <c r="A51" s="3" t="s">
        <v>10</v>
      </c>
      <c r="B51" s="5">
        <v>6.9993243243243253</v>
      </c>
    </row>
    <row r="59" spans="1:2" x14ac:dyDescent="0.25">
      <c r="A59" t="s">
        <v>16</v>
      </c>
      <c r="B59">
        <f>COUNT(Table2[student_id])</f>
        <v>200</v>
      </c>
    </row>
    <row r="60" spans="1:2" x14ac:dyDescent="0.25">
      <c r="A60" t="s">
        <v>17</v>
      </c>
      <c r="B60">
        <f>AVERAGE(Table2[cgpa])</f>
        <v>7.1060500000000024</v>
      </c>
    </row>
    <row r="61" spans="1:2" x14ac:dyDescent="0.25">
      <c r="A61" t="s">
        <v>18</v>
      </c>
      <c r="B61">
        <f>AVERAGE(Table2[attendance_percentage])</f>
        <v>73.907500000000013</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workbookViewId="0">
      <selection activeCell="A3" sqref="A3"/>
    </sheetView>
  </sheetViews>
  <sheetFormatPr defaultRowHeight="15" x14ac:dyDescent="0.25"/>
  <cols>
    <col min="1" max="1" width="12.7109375" customWidth="1"/>
    <col min="2" max="2" width="24.140625" customWidth="1"/>
    <col min="4" max="4" width="17.5703125" customWidth="1"/>
    <col min="5" max="5" width="15.7109375" customWidth="1"/>
    <col min="6" max="6" width="13.42578125" customWidth="1"/>
  </cols>
  <sheetData>
    <row r="1" spans="1:6" x14ac:dyDescent="0.25">
      <c r="A1" t="s">
        <v>0</v>
      </c>
      <c r="B1" t="s">
        <v>1</v>
      </c>
      <c r="C1" t="s">
        <v>2</v>
      </c>
      <c r="D1" t="s">
        <v>3</v>
      </c>
      <c r="E1" t="s">
        <v>4</v>
      </c>
      <c r="F1" t="s">
        <v>13</v>
      </c>
    </row>
    <row r="2" spans="1:6" x14ac:dyDescent="0.25">
      <c r="A2">
        <v>100001</v>
      </c>
      <c r="B2" s="1">
        <v>66.5</v>
      </c>
      <c r="C2" s="1">
        <v>9.6300000000000008</v>
      </c>
      <c r="D2" t="s">
        <v>5</v>
      </c>
      <c r="E2" t="s">
        <v>6</v>
      </c>
      <c r="F2" t="str">
        <f t="shared" ref="F2:F33" si="0">_xlfn.IFS(B2 &lt;=60, "Low", B2 &lt;=80, "Medium", B2 &lt;=100, "High")</f>
        <v>Medium</v>
      </c>
    </row>
    <row r="3" spans="1:6" x14ac:dyDescent="0.25">
      <c r="A3">
        <v>100002</v>
      </c>
      <c r="B3" s="1">
        <v>55.8</v>
      </c>
      <c r="C3" s="1">
        <v>6.04</v>
      </c>
      <c r="D3" t="s">
        <v>7</v>
      </c>
      <c r="E3" t="s">
        <v>8</v>
      </c>
      <c r="F3" t="str">
        <f t="shared" si="0"/>
        <v>Low</v>
      </c>
    </row>
    <row r="4" spans="1:6" x14ac:dyDescent="0.25">
      <c r="A4">
        <v>100003</v>
      </c>
      <c r="B4" s="1">
        <v>85</v>
      </c>
      <c r="C4" s="1">
        <v>8.31</v>
      </c>
      <c r="D4" t="s">
        <v>5</v>
      </c>
      <c r="E4" t="s">
        <v>6</v>
      </c>
      <c r="F4" t="str">
        <f t="shared" si="0"/>
        <v>High</v>
      </c>
    </row>
    <row r="5" spans="1:6" x14ac:dyDescent="0.25">
      <c r="A5">
        <v>100004</v>
      </c>
      <c r="B5" s="1">
        <v>89.1</v>
      </c>
      <c r="C5" s="1">
        <v>5.95</v>
      </c>
      <c r="D5" t="s">
        <v>5</v>
      </c>
      <c r="E5" t="s">
        <v>6</v>
      </c>
      <c r="F5" t="str">
        <f t="shared" si="0"/>
        <v>High</v>
      </c>
    </row>
    <row r="6" spans="1:6" x14ac:dyDescent="0.25">
      <c r="A6">
        <v>100005</v>
      </c>
      <c r="B6" s="1">
        <v>58.7</v>
      </c>
      <c r="C6" s="1">
        <v>8.51</v>
      </c>
      <c r="D6" t="s">
        <v>5</v>
      </c>
      <c r="E6" t="s">
        <v>8</v>
      </c>
      <c r="F6" t="str">
        <f t="shared" si="0"/>
        <v>Low</v>
      </c>
    </row>
    <row r="7" spans="1:6" x14ac:dyDescent="0.25">
      <c r="A7">
        <v>100006</v>
      </c>
      <c r="B7" s="1">
        <v>51.7</v>
      </c>
      <c r="C7" s="1">
        <v>6.82</v>
      </c>
      <c r="D7" t="s">
        <v>9</v>
      </c>
      <c r="E7" t="s">
        <v>8</v>
      </c>
      <c r="F7" t="str">
        <f t="shared" si="0"/>
        <v>Low</v>
      </c>
    </row>
    <row r="8" spans="1:6" x14ac:dyDescent="0.25">
      <c r="A8">
        <v>100007</v>
      </c>
      <c r="B8" s="1">
        <v>77.099999999999994</v>
      </c>
      <c r="C8" s="1">
        <v>5.36</v>
      </c>
      <c r="D8" t="s">
        <v>9</v>
      </c>
      <c r="E8" t="s">
        <v>8</v>
      </c>
      <c r="F8" t="str">
        <f t="shared" si="0"/>
        <v>Medium</v>
      </c>
    </row>
    <row r="9" spans="1:6" x14ac:dyDescent="0.25">
      <c r="A9">
        <v>100008</v>
      </c>
      <c r="B9" s="1">
        <v>59.3</v>
      </c>
      <c r="C9" s="1">
        <v>5.91</v>
      </c>
      <c r="D9" t="s">
        <v>9</v>
      </c>
      <c r="E9" t="s">
        <v>8</v>
      </c>
      <c r="F9" t="str">
        <f t="shared" si="0"/>
        <v>Low</v>
      </c>
    </row>
    <row r="10" spans="1:6" x14ac:dyDescent="0.25">
      <c r="A10">
        <v>100009</v>
      </c>
      <c r="B10" s="1">
        <v>70.599999999999994</v>
      </c>
      <c r="C10" s="1">
        <v>7.23</v>
      </c>
      <c r="D10" t="s">
        <v>9</v>
      </c>
      <c r="E10" t="s">
        <v>8</v>
      </c>
      <c r="F10" t="str">
        <f t="shared" si="0"/>
        <v>Medium</v>
      </c>
    </row>
    <row r="11" spans="1:6" x14ac:dyDescent="0.25">
      <c r="A11">
        <v>100010</v>
      </c>
      <c r="B11" s="1">
        <v>65</v>
      </c>
      <c r="C11" s="1">
        <v>6.26</v>
      </c>
      <c r="D11" t="s">
        <v>7</v>
      </c>
      <c r="E11" t="s">
        <v>10</v>
      </c>
      <c r="F11" t="str">
        <f t="shared" si="0"/>
        <v>Medium</v>
      </c>
    </row>
    <row r="12" spans="1:6" x14ac:dyDescent="0.25">
      <c r="A12">
        <v>100011</v>
      </c>
      <c r="B12" s="1">
        <v>99.2</v>
      </c>
      <c r="C12" s="1">
        <v>9.31</v>
      </c>
      <c r="D12" t="s">
        <v>5</v>
      </c>
      <c r="E12" t="s">
        <v>8</v>
      </c>
      <c r="F12" t="str">
        <f t="shared" si="0"/>
        <v>High</v>
      </c>
    </row>
    <row r="13" spans="1:6" x14ac:dyDescent="0.25">
      <c r="A13">
        <v>100012</v>
      </c>
      <c r="B13" s="1">
        <v>88.5</v>
      </c>
      <c r="C13" s="1">
        <v>5.62</v>
      </c>
      <c r="D13" t="s">
        <v>9</v>
      </c>
      <c r="E13" t="s">
        <v>8</v>
      </c>
      <c r="F13" t="str">
        <f t="shared" si="0"/>
        <v>High</v>
      </c>
    </row>
    <row r="14" spans="1:6" x14ac:dyDescent="0.25">
      <c r="A14">
        <v>100013</v>
      </c>
      <c r="B14" s="1">
        <v>90.3</v>
      </c>
      <c r="C14" s="1">
        <v>9.5299999999999994</v>
      </c>
      <c r="D14" t="s">
        <v>9</v>
      </c>
      <c r="E14" t="s">
        <v>8</v>
      </c>
      <c r="F14" t="str">
        <f t="shared" si="0"/>
        <v>High</v>
      </c>
    </row>
    <row r="15" spans="1:6" x14ac:dyDescent="0.25">
      <c r="A15">
        <v>100014</v>
      </c>
      <c r="B15" s="1">
        <v>85.1</v>
      </c>
      <c r="C15" s="1">
        <v>4.0599999999999996</v>
      </c>
      <c r="D15" t="s">
        <v>5</v>
      </c>
      <c r="E15" t="s">
        <v>10</v>
      </c>
      <c r="F15" t="str">
        <f t="shared" si="0"/>
        <v>High</v>
      </c>
    </row>
    <row r="16" spans="1:6" x14ac:dyDescent="0.25">
      <c r="A16">
        <v>100015</v>
      </c>
      <c r="B16" s="1">
        <v>87.4</v>
      </c>
      <c r="C16" s="1">
        <v>8.6</v>
      </c>
      <c r="D16" t="s">
        <v>9</v>
      </c>
      <c r="E16" t="s">
        <v>10</v>
      </c>
      <c r="F16" t="str">
        <f t="shared" si="0"/>
        <v>High</v>
      </c>
    </row>
    <row r="17" spans="1:6" x14ac:dyDescent="0.25">
      <c r="A17">
        <v>100016</v>
      </c>
      <c r="B17" s="1">
        <v>83.6</v>
      </c>
      <c r="C17" s="1">
        <v>9.07</v>
      </c>
      <c r="D17" t="s">
        <v>7</v>
      </c>
      <c r="E17" t="s">
        <v>6</v>
      </c>
      <c r="F17" t="str">
        <f t="shared" si="0"/>
        <v>High</v>
      </c>
    </row>
    <row r="18" spans="1:6" x14ac:dyDescent="0.25">
      <c r="A18">
        <v>100017</v>
      </c>
      <c r="B18" s="1">
        <v>92.8</v>
      </c>
      <c r="C18" s="1">
        <v>5.8</v>
      </c>
      <c r="D18" t="s">
        <v>5</v>
      </c>
      <c r="E18" t="s">
        <v>10</v>
      </c>
      <c r="F18" t="str">
        <f t="shared" si="0"/>
        <v>High</v>
      </c>
    </row>
    <row r="19" spans="1:6" x14ac:dyDescent="0.25">
      <c r="A19">
        <v>100018</v>
      </c>
      <c r="B19" s="1">
        <v>85.7</v>
      </c>
      <c r="C19" s="1">
        <v>8.64</v>
      </c>
      <c r="D19" t="s">
        <v>9</v>
      </c>
      <c r="E19" t="s">
        <v>10</v>
      </c>
      <c r="F19" t="str">
        <f t="shared" si="0"/>
        <v>High</v>
      </c>
    </row>
    <row r="20" spans="1:6" x14ac:dyDescent="0.25">
      <c r="A20">
        <v>100019</v>
      </c>
      <c r="B20" s="1">
        <v>98.5</v>
      </c>
      <c r="C20" s="1">
        <v>8.8000000000000007</v>
      </c>
      <c r="D20" t="s">
        <v>9</v>
      </c>
      <c r="E20" t="s">
        <v>10</v>
      </c>
      <c r="F20" t="str">
        <f t="shared" si="0"/>
        <v>High</v>
      </c>
    </row>
    <row r="21" spans="1:6" x14ac:dyDescent="0.25">
      <c r="A21">
        <v>100020</v>
      </c>
      <c r="B21" s="1">
        <v>66.599999999999994</v>
      </c>
      <c r="C21" s="1">
        <v>9.4499999999999993</v>
      </c>
      <c r="D21" t="s">
        <v>7</v>
      </c>
      <c r="E21" t="s">
        <v>10</v>
      </c>
      <c r="F21" t="str">
        <f t="shared" si="0"/>
        <v>Medium</v>
      </c>
    </row>
    <row r="22" spans="1:6" x14ac:dyDescent="0.25">
      <c r="A22">
        <v>100021</v>
      </c>
      <c r="B22" s="1">
        <v>92.8</v>
      </c>
      <c r="C22" s="1">
        <v>6</v>
      </c>
      <c r="D22" t="s">
        <v>7</v>
      </c>
      <c r="E22" t="s">
        <v>10</v>
      </c>
      <c r="F22" t="str">
        <f t="shared" si="0"/>
        <v>High</v>
      </c>
    </row>
    <row r="23" spans="1:6" x14ac:dyDescent="0.25">
      <c r="A23">
        <v>100022</v>
      </c>
      <c r="B23" s="1">
        <v>92.8</v>
      </c>
      <c r="C23" s="1">
        <v>5.45</v>
      </c>
      <c r="D23" t="s">
        <v>5</v>
      </c>
      <c r="E23" t="s">
        <v>6</v>
      </c>
      <c r="F23" t="str">
        <f t="shared" si="0"/>
        <v>High</v>
      </c>
    </row>
    <row r="24" spans="1:6" x14ac:dyDescent="0.25">
      <c r="A24">
        <v>100023</v>
      </c>
      <c r="B24" s="1">
        <v>53.9</v>
      </c>
      <c r="C24" s="1">
        <v>4.46</v>
      </c>
      <c r="D24" t="s">
        <v>9</v>
      </c>
      <c r="E24" t="s">
        <v>8</v>
      </c>
      <c r="F24" t="str">
        <f t="shared" si="0"/>
        <v>Low</v>
      </c>
    </row>
    <row r="25" spans="1:6" x14ac:dyDescent="0.25">
      <c r="A25">
        <v>100024</v>
      </c>
      <c r="B25" s="1">
        <v>99.8</v>
      </c>
      <c r="C25" s="1">
        <v>9.58</v>
      </c>
      <c r="D25" t="s">
        <v>7</v>
      </c>
      <c r="E25" t="s">
        <v>8</v>
      </c>
      <c r="F25" t="str">
        <f t="shared" si="0"/>
        <v>High</v>
      </c>
    </row>
    <row r="26" spans="1:6" x14ac:dyDescent="0.25">
      <c r="A26">
        <v>100025</v>
      </c>
      <c r="B26" s="1">
        <v>68.3</v>
      </c>
      <c r="C26" s="1">
        <v>6.82</v>
      </c>
      <c r="D26" t="s">
        <v>9</v>
      </c>
      <c r="E26" t="s">
        <v>8</v>
      </c>
      <c r="F26" t="str">
        <f t="shared" si="0"/>
        <v>Medium</v>
      </c>
    </row>
    <row r="27" spans="1:6" x14ac:dyDescent="0.25">
      <c r="A27">
        <v>100026</v>
      </c>
      <c r="B27" s="1">
        <v>60.6</v>
      </c>
      <c r="C27" s="1">
        <v>4.54</v>
      </c>
      <c r="D27" t="s">
        <v>7</v>
      </c>
      <c r="E27" t="s">
        <v>6</v>
      </c>
      <c r="F27" t="str">
        <f t="shared" si="0"/>
        <v>Medium</v>
      </c>
    </row>
    <row r="28" spans="1:6" x14ac:dyDescent="0.25">
      <c r="A28">
        <v>100027</v>
      </c>
      <c r="B28" s="1">
        <v>97.4</v>
      </c>
      <c r="C28" s="1">
        <v>9.1199999999999992</v>
      </c>
      <c r="D28" t="s">
        <v>7</v>
      </c>
      <c r="E28" t="s">
        <v>8</v>
      </c>
      <c r="F28" t="str">
        <f t="shared" si="0"/>
        <v>High</v>
      </c>
    </row>
    <row r="29" spans="1:6" x14ac:dyDescent="0.25">
      <c r="A29">
        <v>100028</v>
      </c>
      <c r="B29" s="1">
        <v>93.2</v>
      </c>
      <c r="C29" s="1">
        <v>9.24</v>
      </c>
      <c r="D29" t="s">
        <v>9</v>
      </c>
      <c r="E29" t="s">
        <v>8</v>
      </c>
      <c r="F29" t="str">
        <f t="shared" si="0"/>
        <v>High</v>
      </c>
    </row>
    <row r="30" spans="1:6" x14ac:dyDescent="0.25">
      <c r="A30">
        <v>100029</v>
      </c>
      <c r="B30" s="1">
        <v>67.400000000000006</v>
      </c>
      <c r="C30" s="1">
        <v>5.04</v>
      </c>
      <c r="D30" t="s">
        <v>7</v>
      </c>
      <c r="E30" t="s">
        <v>10</v>
      </c>
      <c r="F30" t="str">
        <f t="shared" si="0"/>
        <v>Medium</v>
      </c>
    </row>
    <row r="31" spans="1:6" x14ac:dyDescent="0.25">
      <c r="A31">
        <v>100030</v>
      </c>
      <c r="B31" s="1">
        <v>62.5</v>
      </c>
      <c r="C31" s="1">
        <v>4.72</v>
      </c>
      <c r="D31" t="s">
        <v>7</v>
      </c>
      <c r="E31" t="s">
        <v>10</v>
      </c>
      <c r="F31" t="str">
        <f t="shared" si="0"/>
        <v>Medium</v>
      </c>
    </row>
    <row r="32" spans="1:6" x14ac:dyDescent="0.25">
      <c r="A32">
        <v>100031</v>
      </c>
      <c r="B32" s="1">
        <v>57.8</v>
      </c>
      <c r="C32" s="1">
        <v>4</v>
      </c>
      <c r="D32" t="s">
        <v>5</v>
      </c>
      <c r="E32" t="s">
        <v>8</v>
      </c>
      <c r="F32" t="str">
        <f t="shared" si="0"/>
        <v>Low</v>
      </c>
    </row>
    <row r="33" spans="1:6" x14ac:dyDescent="0.25">
      <c r="A33">
        <v>100032</v>
      </c>
      <c r="B33" s="1">
        <v>62.9</v>
      </c>
      <c r="C33" s="1">
        <v>9.34</v>
      </c>
      <c r="D33" t="s">
        <v>7</v>
      </c>
      <c r="E33" t="s">
        <v>8</v>
      </c>
      <c r="F33" t="str">
        <f t="shared" si="0"/>
        <v>Medium</v>
      </c>
    </row>
    <row r="34" spans="1:6" x14ac:dyDescent="0.25">
      <c r="A34">
        <v>100033</v>
      </c>
      <c r="B34" s="1">
        <v>51.8</v>
      </c>
      <c r="C34" s="1">
        <v>5.67</v>
      </c>
      <c r="D34" t="s">
        <v>9</v>
      </c>
      <c r="E34" t="s">
        <v>6</v>
      </c>
      <c r="F34" t="str">
        <f t="shared" ref="F34:F65" si="1">_xlfn.IFS(B34 &lt;=60, "Low", B34 &lt;=80, "Medium", B34 &lt;=100, "High")</f>
        <v>Low</v>
      </c>
    </row>
    <row r="35" spans="1:6" x14ac:dyDescent="0.25">
      <c r="A35">
        <v>100034</v>
      </c>
      <c r="B35" s="1">
        <v>57.2</v>
      </c>
      <c r="C35" s="1">
        <v>9.31</v>
      </c>
      <c r="D35" t="s">
        <v>9</v>
      </c>
      <c r="E35" t="s">
        <v>8</v>
      </c>
      <c r="F35" t="str">
        <f t="shared" si="1"/>
        <v>Low</v>
      </c>
    </row>
    <row r="36" spans="1:6" x14ac:dyDescent="0.25">
      <c r="A36">
        <v>100035</v>
      </c>
      <c r="B36" s="1">
        <v>66.400000000000006</v>
      </c>
      <c r="C36" s="1">
        <v>4.37</v>
      </c>
      <c r="D36" t="s">
        <v>5</v>
      </c>
      <c r="E36" t="s">
        <v>8</v>
      </c>
      <c r="F36" t="str">
        <f t="shared" si="1"/>
        <v>Medium</v>
      </c>
    </row>
    <row r="37" spans="1:6" x14ac:dyDescent="0.25">
      <c r="A37">
        <v>100036</v>
      </c>
      <c r="B37" s="1">
        <v>83.3</v>
      </c>
      <c r="C37" s="1">
        <v>9.2899999999999991</v>
      </c>
      <c r="D37" t="s">
        <v>7</v>
      </c>
      <c r="E37" t="s">
        <v>8</v>
      </c>
      <c r="F37" t="str">
        <f t="shared" si="1"/>
        <v>High</v>
      </c>
    </row>
    <row r="38" spans="1:6" x14ac:dyDescent="0.25">
      <c r="A38">
        <v>100037</v>
      </c>
      <c r="B38" s="1">
        <v>54.3</v>
      </c>
      <c r="C38" s="1">
        <v>9.4600000000000009</v>
      </c>
      <c r="D38" t="s">
        <v>7</v>
      </c>
      <c r="E38" t="s">
        <v>8</v>
      </c>
      <c r="F38" t="str">
        <f t="shared" si="1"/>
        <v>Low</v>
      </c>
    </row>
    <row r="39" spans="1:6" x14ac:dyDescent="0.25">
      <c r="A39">
        <v>100038</v>
      </c>
      <c r="B39" s="1">
        <v>54.2</v>
      </c>
      <c r="C39" s="1">
        <v>5.48</v>
      </c>
      <c r="D39" t="s">
        <v>5</v>
      </c>
      <c r="E39" t="s">
        <v>10</v>
      </c>
      <c r="F39" t="str">
        <f t="shared" si="1"/>
        <v>Low</v>
      </c>
    </row>
    <row r="40" spans="1:6" x14ac:dyDescent="0.25">
      <c r="A40">
        <v>100039</v>
      </c>
      <c r="B40" s="1">
        <v>91.1</v>
      </c>
      <c r="C40" s="1">
        <v>10</v>
      </c>
      <c r="D40" t="s">
        <v>5</v>
      </c>
      <c r="E40" t="s">
        <v>8</v>
      </c>
      <c r="F40" t="str">
        <f t="shared" si="1"/>
        <v>High</v>
      </c>
    </row>
    <row r="41" spans="1:6" x14ac:dyDescent="0.25">
      <c r="A41">
        <v>100040</v>
      </c>
      <c r="B41" s="1">
        <v>97.4</v>
      </c>
      <c r="C41" s="1">
        <v>5.66</v>
      </c>
      <c r="D41" t="s">
        <v>5</v>
      </c>
      <c r="E41" t="s">
        <v>8</v>
      </c>
      <c r="F41" t="str">
        <f t="shared" si="1"/>
        <v>High</v>
      </c>
    </row>
    <row r="42" spans="1:6" x14ac:dyDescent="0.25">
      <c r="A42">
        <v>100041</v>
      </c>
      <c r="B42" s="1">
        <v>50.8</v>
      </c>
      <c r="C42" s="1">
        <v>4.96</v>
      </c>
      <c r="D42" t="s">
        <v>5</v>
      </c>
      <c r="E42" t="s">
        <v>6</v>
      </c>
      <c r="F42" t="str">
        <f t="shared" si="1"/>
        <v>Low</v>
      </c>
    </row>
    <row r="43" spans="1:6" x14ac:dyDescent="0.25">
      <c r="A43">
        <v>100042</v>
      </c>
      <c r="B43" s="1">
        <v>79</v>
      </c>
      <c r="C43" s="1">
        <v>9.77</v>
      </c>
      <c r="D43" t="s">
        <v>5</v>
      </c>
      <c r="E43" t="s">
        <v>10</v>
      </c>
      <c r="F43" t="str">
        <f t="shared" si="1"/>
        <v>Medium</v>
      </c>
    </row>
    <row r="44" spans="1:6" x14ac:dyDescent="0.25">
      <c r="A44">
        <v>100043</v>
      </c>
      <c r="B44" s="1">
        <v>67.8</v>
      </c>
      <c r="C44" s="1">
        <v>7.54</v>
      </c>
      <c r="D44" t="s">
        <v>7</v>
      </c>
      <c r="E44" t="s">
        <v>6</v>
      </c>
      <c r="F44" t="str">
        <f t="shared" si="1"/>
        <v>Medium</v>
      </c>
    </row>
    <row r="45" spans="1:6" x14ac:dyDescent="0.25">
      <c r="A45">
        <v>100044</v>
      </c>
      <c r="B45" s="1">
        <v>61.5</v>
      </c>
      <c r="C45" s="1">
        <v>4.87</v>
      </c>
      <c r="D45" t="s">
        <v>5</v>
      </c>
      <c r="E45" t="s">
        <v>6</v>
      </c>
      <c r="F45" t="str">
        <f t="shared" si="1"/>
        <v>Medium</v>
      </c>
    </row>
    <row r="46" spans="1:6" x14ac:dyDescent="0.25">
      <c r="A46">
        <v>100045</v>
      </c>
      <c r="B46" s="1">
        <v>79.2</v>
      </c>
      <c r="C46" s="1">
        <v>9.3800000000000008</v>
      </c>
      <c r="D46" t="s">
        <v>7</v>
      </c>
      <c r="E46" t="s">
        <v>8</v>
      </c>
      <c r="F46" t="str">
        <f t="shared" si="1"/>
        <v>Medium</v>
      </c>
    </row>
    <row r="47" spans="1:6" x14ac:dyDescent="0.25">
      <c r="A47">
        <v>100046</v>
      </c>
      <c r="B47" s="1">
        <v>78.599999999999994</v>
      </c>
      <c r="C47" s="1">
        <v>8.49</v>
      </c>
      <c r="D47" t="s">
        <v>7</v>
      </c>
      <c r="E47" t="s">
        <v>8</v>
      </c>
      <c r="F47" t="str">
        <f t="shared" si="1"/>
        <v>Medium</v>
      </c>
    </row>
    <row r="48" spans="1:6" x14ac:dyDescent="0.25">
      <c r="A48">
        <v>100047</v>
      </c>
      <c r="B48" s="1">
        <v>72.400000000000006</v>
      </c>
      <c r="C48" s="1">
        <v>7.1</v>
      </c>
      <c r="D48" t="s">
        <v>5</v>
      </c>
      <c r="E48" t="s">
        <v>6</v>
      </c>
      <c r="F48" t="str">
        <f t="shared" si="1"/>
        <v>Medium</v>
      </c>
    </row>
    <row r="49" spans="1:6" x14ac:dyDescent="0.25">
      <c r="A49">
        <v>100048</v>
      </c>
      <c r="B49" s="1">
        <v>81.900000000000006</v>
      </c>
      <c r="C49" s="1">
        <v>7.85</v>
      </c>
      <c r="D49" t="s">
        <v>7</v>
      </c>
      <c r="E49" t="s">
        <v>6</v>
      </c>
      <c r="F49" t="str">
        <f t="shared" si="1"/>
        <v>High</v>
      </c>
    </row>
    <row r="50" spans="1:6" x14ac:dyDescent="0.25">
      <c r="A50">
        <v>100049</v>
      </c>
      <c r="B50" s="1">
        <v>84.4</v>
      </c>
      <c r="C50" s="1">
        <v>5.99</v>
      </c>
      <c r="D50" t="s">
        <v>9</v>
      </c>
      <c r="E50" t="s">
        <v>10</v>
      </c>
      <c r="F50" t="str">
        <f t="shared" si="1"/>
        <v>High</v>
      </c>
    </row>
    <row r="51" spans="1:6" x14ac:dyDescent="0.25">
      <c r="A51">
        <v>100050</v>
      </c>
      <c r="B51" s="1">
        <v>56.7</v>
      </c>
      <c r="C51" s="1">
        <v>8.81</v>
      </c>
      <c r="D51" t="s">
        <v>7</v>
      </c>
      <c r="E51" t="s">
        <v>6</v>
      </c>
      <c r="F51" t="str">
        <f t="shared" si="1"/>
        <v>Low</v>
      </c>
    </row>
    <row r="52" spans="1:6" x14ac:dyDescent="0.25">
      <c r="A52">
        <v>100051</v>
      </c>
      <c r="B52" s="1">
        <v>87.1</v>
      </c>
      <c r="C52" s="1">
        <v>8.27</v>
      </c>
      <c r="D52" t="s">
        <v>5</v>
      </c>
      <c r="E52" t="s">
        <v>8</v>
      </c>
      <c r="F52" t="str">
        <f t="shared" si="1"/>
        <v>High</v>
      </c>
    </row>
    <row r="53" spans="1:6" x14ac:dyDescent="0.25">
      <c r="A53">
        <v>100052</v>
      </c>
      <c r="B53" s="1">
        <v>92</v>
      </c>
      <c r="C53" s="1">
        <v>7.65</v>
      </c>
      <c r="D53" t="s">
        <v>5</v>
      </c>
      <c r="E53" t="s">
        <v>6</v>
      </c>
      <c r="F53" t="str">
        <f t="shared" si="1"/>
        <v>High</v>
      </c>
    </row>
    <row r="54" spans="1:6" x14ac:dyDescent="0.25">
      <c r="A54">
        <v>100053</v>
      </c>
      <c r="B54" s="1">
        <v>62.1</v>
      </c>
      <c r="C54" s="1">
        <v>7.16</v>
      </c>
      <c r="D54" t="s">
        <v>9</v>
      </c>
      <c r="E54" t="s">
        <v>10</v>
      </c>
      <c r="F54" t="str">
        <f t="shared" si="1"/>
        <v>Medium</v>
      </c>
    </row>
    <row r="55" spans="1:6" x14ac:dyDescent="0.25">
      <c r="A55">
        <v>100054</v>
      </c>
      <c r="B55" s="1">
        <v>59.8</v>
      </c>
      <c r="C55" s="1">
        <v>7.23</v>
      </c>
      <c r="D55" t="s">
        <v>9</v>
      </c>
      <c r="E55" t="s">
        <v>8</v>
      </c>
      <c r="F55" t="str">
        <f t="shared" si="1"/>
        <v>Low</v>
      </c>
    </row>
    <row r="56" spans="1:6" x14ac:dyDescent="0.25">
      <c r="A56">
        <v>100055</v>
      </c>
      <c r="B56" s="1">
        <v>97</v>
      </c>
      <c r="C56" s="1">
        <v>7.89</v>
      </c>
      <c r="D56" t="s">
        <v>9</v>
      </c>
      <c r="E56" t="s">
        <v>10</v>
      </c>
      <c r="F56" t="str">
        <f t="shared" si="1"/>
        <v>High</v>
      </c>
    </row>
    <row r="57" spans="1:6" x14ac:dyDescent="0.25">
      <c r="A57">
        <v>100056</v>
      </c>
      <c r="B57" s="1">
        <v>53.3</v>
      </c>
      <c r="C57" s="1">
        <v>4.8899999999999997</v>
      </c>
      <c r="D57" t="s">
        <v>5</v>
      </c>
      <c r="E57" t="s">
        <v>6</v>
      </c>
      <c r="F57" t="str">
        <f t="shared" si="1"/>
        <v>Low</v>
      </c>
    </row>
    <row r="58" spans="1:6" x14ac:dyDescent="0.25">
      <c r="A58">
        <v>100057</v>
      </c>
      <c r="B58" s="1">
        <v>64.5</v>
      </c>
      <c r="C58" s="1">
        <v>4.03</v>
      </c>
      <c r="D58" t="s">
        <v>5</v>
      </c>
      <c r="E58" t="s">
        <v>8</v>
      </c>
      <c r="F58" t="str">
        <f t="shared" si="1"/>
        <v>Medium</v>
      </c>
    </row>
    <row r="59" spans="1:6" x14ac:dyDescent="0.25">
      <c r="A59">
        <v>100058</v>
      </c>
      <c r="B59" s="1">
        <v>56.9</v>
      </c>
      <c r="C59" s="1">
        <v>8.91</v>
      </c>
      <c r="D59" t="s">
        <v>9</v>
      </c>
      <c r="E59" t="s">
        <v>10</v>
      </c>
      <c r="F59" t="str">
        <f t="shared" si="1"/>
        <v>Low</v>
      </c>
    </row>
    <row r="60" spans="1:6" x14ac:dyDescent="0.25">
      <c r="A60">
        <v>100059</v>
      </c>
      <c r="B60" s="1">
        <v>53.1</v>
      </c>
      <c r="C60" s="1">
        <v>9.3699999999999992</v>
      </c>
      <c r="D60" t="s">
        <v>5</v>
      </c>
      <c r="E60" t="s">
        <v>10</v>
      </c>
      <c r="F60" t="str">
        <f t="shared" si="1"/>
        <v>Low</v>
      </c>
    </row>
    <row r="61" spans="1:6" x14ac:dyDescent="0.25">
      <c r="A61">
        <v>100060</v>
      </c>
      <c r="B61" s="1">
        <v>88.3</v>
      </c>
      <c r="C61" s="1">
        <v>4.18</v>
      </c>
      <c r="D61" t="s">
        <v>7</v>
      </c>
      <c r="E61" t="s">
        <v>6</v>
      </c>
      <c r="F61" t="str">
        <f t="shared" si="1"/>
        <v>High</v>
      </c>
    </row>
    <row r="62" spans="1:6" x14ac:dyDescent="0.25">
      <c r="A62">
        <v>100061</v>
      </c>
      <c r="B62" s="1">
        <v>66</v>
      </c>
      <c r="C62" s="1">
        <v>7.08</v>
      </c>
      <c r="D62" t="s">
        <v>5</v>
      </c>
      <c r="E62" t="s">
        <v>8</v>
      </c>
      <c r="F62" t="str">
        <f t="shared" si="1"/>
        <v>Medium</v>
      </c>
    </row>
    <row r="63" spans="1:6" x14ac:dyDescent="0.25">
      <c r="A63">
        <v>100062</v>
      </c>
      <c r="B63" s="1">
        <v>61.1</v>
      </c>
      <c r="C63" s="1">
        <v>4.97</v>
      </c>
      <c r="D63" t="s">
        <v>9</v>
      </c>
      <c r="E63" t="s">
        <v>6</v>
      </c>
      <c r="F63" t="str">
        <f t="shared" si="1"/>
        <v>Medium</v>
      </c>
    </row>
    <row r="64" spans="1:6" x14ac:dyDescent="0.25">
      <c r="A64">
        <v>100063</v>
      </c>
      <c r="B64" s="1">
        <v>98.3</v>
      </c>
      <c r="C64" s="1">
        <v>5.68</v>
      </c>
      <c r="D64" t="s">
        <v>9</v>
      </c>
      <c r="E64" t="s">
        <v>8</v>
      </c>
      <c r="F64" t="str">
        <f t="shared" si="1"/>
        <v>High</v>
      </c>
    </row>
    <row r="65" spans="1:6" x14ac:dyDescent="0.25">
      <c r="A65">
        <v>100064</v>
      </c>
      <c r="B65" s="1">
        <v>85</v>
      </c>
      <c r="C65" s="1">
        <v>6.37</v>
      </c>
      <c r="D65" t="s">
        <v>9</v>
      </c>
      <c r="E65" t="s">
        <v>10</v>
      </c>
      <c r="F65" t="str">
        <f t="shared" si="1"/>
        <v>High</v>
      </c>
    </row>
    <row r="66" spans="1:6" x14ac:dyDescent="0.25">
      <c r="A66">
        <v>100065</v>
      </c>
      <c r="B66" s="1">
        <v>67.8</v>
      </c>
      <c r="C66" s="1">
        <v>4.87</v>
      </c>
      <c r="D66" t="s">
        <v>7</v>
      </c>
      <c r="E66" t="s">
        <v>10</v>
      </c>
      <c r="F66" t="str">
        <f t="shared" ref="F66:F97" si="2">_xlfn.IFS(B66 &lt;=60, "Low", B66 &lt;=80, "Medium", B66 &lt;=100, "High")</f>
        <v>Medium</v>
      </c>
    </row>
    <row r="67" spans="1:6" x14ac:dyDescent="0.25">
      <c r="A67">
        <v>100066</v>
      </c>
      <c r="B67" s="1">
        <v>59.1</v>
      </c>
      <c r="C67" s="1">
        <v>7.05</v>
      </c>
      <c r="D67" t="s">
        <v>7</v>
      </c>
      <c r="E67" t="s">
        <v>6</v>
      </c>
      <c r="F67" t="str">
        <f t="shared" si="2"/>
        <v>Low</v>
      </c>
    </row>
    <row r="68" spans="1:6" x14ac:dyDescent="0.25">
      <c r="A68">
        <v>100067</v>
      </c>
      <c r="B68" s="1">
        <v>51.4</v>
      </c>
      <c r="C68" s="1">
        <v>9.85</v>
      </c>
      <c r="D68" t="s">
        <v>9</v>
      </c>
      <c r="E68" t="s">
        <v>10</v>
      </c>
      <c r="F68" t="str">
        <f t="shared" si="2"/>
        <v>Low</v>
      </c>
    </row>
    <row r="69" spans="1:6" x14ac:dyDescent="0.25">
      <c r="A69">
        <v>100068</v>
      </c>
      <c r="B69" s="1">
        <v>87.5</v>
      </c>
      <c r="C69" s="1">
        <v>4.33</v>
      </c>
      <c r="D69" t="s">
        <v>5</v>
      </c>
      <c r="E69" t="s">
        <v>8</v>
      </c>
      <c r="F69" t="str">
        <f t="shared" si="2"/>
        <v>High</v>
      </c>
    </row>
    <row r="70" spans="1:6" x14ac:dyDescent="0.25">
      <c r="A70">
        <v>100069</v>
      </c>
      <c r="B70" s="1">
        <v>68.2</v>
      </c>
      <c r="C70" s="1">
        <v>8.24</v>
      </c>
      <c r="D70" t="s">
        <v>9</v>
      </c>
      <c r="E70" t="s">
        <v>10</v>
      </c>
      <c r="F70" t="str">
        <f t="shared" si="2"/>
        <v>Medium</v>
      </c>
    </row>
    <row r="71" spans="1:6" x14ac:dyDescent="0.25">
      <c r="A71">
        <v>100070</v>
      </c>
      <c r="B71" s="1">
        <v>67.7</v>
      </c>
      <c r="C71" s="1">
        <v>4.9000000000000004</v>
      </c>
      <c r="D71" t="s">
        <v>5</v>
      </c>
      <c r="E71" t="s">
        <v>10</v>
      </c>
      <c r="F71" t="str">
        <f t="shared" si="2"/>
        <v>Medium</v>
      </c>
    </row>
    <row r="72" spans="1:6" x14ac:dyDescent="0.25">
      <c r="A72">
        <v>100071</v>
      </c>
      <c r="B72" s="1">
        <v>58.2</v>
      </c>
      <c r="C72" s="1">
        <v>6.19</v>
      </c>
      <c r="D72" t="s">
        <v>9</v>
      </c>
      <c r="E72" t="s">
        <v>10</v>
      </c>
      <c r="F72" t="str">
        <f t="shared" si="2"/>
        <v>Low</v>
      </c>
    </row>
    <row r="73" spans="1:6" x14ac:dyDescent="0.25">
      <c r="A73">
        <v>100072</v>
      </c>
      <c r="B73" s="1">
        <v>54.1</v>
      </c>
      <c r="C73" s="1">
        <v>6.53</v>
      </c>
      <c r="D73" t="s">
        <v>9</v>
      </c>
      <c r="E73" t="s">
        <v>10</v>
      </c>
      <c r="F73" t="str">
        <f t="shared" si="2"/>
        <v>Low</v>
      </c>
    </row>
    <row r="74" spans="1:6" x14ac:dyDescent="0.25">
      <c r="A74">
        <v>100073</v>
      </c>
      <c r="B74" s="1">
        <v>60.4</v>
      </c>
      <c r="C74" s="1">
        <v>6.3</v>
      </c>
      <c r="D74" t="s">
        <v>9</v>
      </c>
      <c r="E74" t="s">
        <v>6</v>
      </c>
      <c r="F74" t="str">
        <f t="shared" si="2"/>
        <v>Medium</v>
      </c>
    </row>
    <row r="75" spans="1:6" x14ac:dyDescent="0.25">
      <c r="A75">
        <v>100074</v>
      </c>
      <c r="B75" s="1">
        <v>77.8</v>
      </c>
      <c r="C75" s="1">
        <v>4.96</v>
      </c>
      <c r="D75" t="s">
        <v>9</v>
      </c>
      <c r="E75" t="s">
        <v>8</v>
      </c>
      <c r="F75" t="str">
        <f t="shared" si="2"/>
        <v>Medium</v>
      </c>
    </row>
    <row r="76" spans="1:6" x14ac:dyDescent="0.25">
      <c r="A76">
        <v>100075</v>
      </c>
      <c r="B76" s="1">
        <v>79</v>
      </c>
      <c r="C76" s="1">
        <v>7.38</v>
      </c>
      <c r="D76" t="s">
        <v>5</v>
      </c>
      <c r="E76" t="s">
        <v>8</v>
      </c>
      <c r="F76" t="str">
        <f t="shared" si="2"/>
        <v>Medium</v>
      </c>
    </row>
    <row r="77" spans="1:6" x14ac:dyDescent="0.25">
      <c r="A77">
        <v>100076</v>
      </c>
      <c r="B77" s="1">
        <v>52.9</v>
      </c>
      <c r="C77" s="1">
        <v>6.64</v>
      </c>
      <c r="D77" t="s">
        <v>9</v>
      </c>
      <c r="E77" t="s">
        <v>8</v>
      </c>
      <c r="F77" t="str">
        <f t="shared" si="2"/>
        <v>Low</v>
      </c>
    </row>
    <row r="78" spans="1:6" x14ac:dyDescent="0.25">
      <c r="A78">
        <v>100077</v>
      </c>
      <c r="B78" s="1">
        <v>50</v>
      </c>
      <c r="C78" s="1">
        <v>6.45</v>
      </c>
      <c r="D78" t="s">
        <v>9</v>
      </c>
      <c r="E78" t="s">
        <v>10</v>
      </c>
      <c r="F78" t="str">
        <f t="shared" si="2"/>
        <v>Low</v>
      </c>
    </row>
    <row r="79" spans="1:6" x14ac:dyDescent="0.25">
      <c r="A79">
        <v>100078</v>
      </c>
      <c r="B79" s="1">
        <v>69.599999999999994</v>
      </c>
      <c r="C79" s="1">
        <v>9.49</v>
      </c>
      <c r="D79" t="s">
        <v>9</v>
      </c>
      <c r="E79" t="s">
        <v>6</v>
      </c>
      <c r="F79" t="str">
        <f t="shared" si="2"/>
        <v>Medium</v>
      </c>
    </row>
    <row r="80" spans="1:6" x14ac:dyDescent="0.25">
      <c r="A80">
        <v>100079</v>
      </c>
      <c r="B80" s="1">
        <v>90.2</v>
      </c>
      <c r="C80" s="1">
        <v>9.76</v>
      </c>
      <c r="D80" t="s">
        <v>7</v>
      </c>
      <c r="E80" t="s">
        <v>6</v>
      </c>
      <c r="F80" t="str">
        <f t="shared" si="2"/>
        <v>High</v>
      </c>
    </row>
    <row r="81" spans="1:6" x14ac:dyDescent="0.25">
      <c r="A81">
        <v>100080</v>
      </c>
      <c r="B81" s="1">
        <v>67.5</v>
      </c>
      <c r="C81" s="1">
        <v>9.09</v>
      </c>
      <c r="D81" t="s">
        <v>7</v>
      </c>
      <c r="E81" t="s">
        <v>8</v>
      </c>
      <c r="F81" t="str">
        <f t="shared" si="2"/>
        <v>Medium</v>
      </c>
    </row>
    <row r="82" spans="1:6" x14ac:dyDescent="0.25">
      <c r="A82">
        <v>100081</v>
      </c>
      <c r="B82" s="1">
        <v>56</v>
      </c>
      <c r="C82" s="1">
        <v>7.54</v>
      </c>
      <c r="D82" t="s">
        <v>5</v>
      </c>
      <c r="E82" t="s">
        <v>8</v>
      </c>
      <c r="F82" t="str">
        <f t="shared" si="2"/>
        <v>Low</v>
      </c>
    </row>
    <row r="83" spans="1:6" x14ac:dyDescent="0.25">
      <c r="A83">
        <v>100082</v>
      </c>
      <c r="B83" s="1">
        <v>69.599999999999994</v>
      </c>
      <c r="C83" s="1">
        <v>6.96</v>
      </c>
      <c r="D83" t="s">
        <v>9</v>
      </c>
      <c r="E83" t="s">
        <v>8</v>
      </c>
      <c r="F83" t="str">
        <f t="shared" si="2"/>
        <v>Medium</v>
      </c>
    </row>
    <row r="84" spans="1:6" x14ac:dyDescent="0.25">
      <c r="A84">
        <v>100083</v>
      </c>
      <c r="B84" s="1">
        <v>72.8</v>
      </c>
      <c r="C84" s="1">
        <v>6.58</v>
      </c>
      <c r="D84" t="s">
        <v>9</v>
      </c>
      <c r="E84" t="s">
        <v>6</v>
      </c>
      <c r="F84" t="str">
        <f t="shared" si="2"/>
        <v>Medium</v>
      </c>
    </row>
    <row r="85" spans="1:6" x14ac:dyDescent="0.25">
      <c r="A85">
        <v>100084</v>
      </c>
      <c r="B85" s="1">
        <v>62.3</v>
      </c>
      <c r="C85" s="1">
        <v>6.09</v>
      </c>
      <c r="D85" t="s">
        <v>7</v>
      </c>
      <c r="E85" t="s">
        <v>8</v>
      </c>
      <c r="F85" t="str">
        <f t="shared" si="2"/>
        <v>Medium</v>
      </c>
    </row>
    <row r="86" spans="1:6" x14ac:dyDescent="0.25">
      <c r="A86">
        <v>100085</v>
      </c>
      <c r="B86" s="1">
        <v>71.5</v>
      </c>
      <c r="C86" s="1">
        <v>6.74</v>
      </c>
      <c r="D86" t="s">
        <v>7</v>
      </c>
      <c r="E86" t="s">
        <v>8</v>
      </c>
      <c r="F86" t="str">
        <f t="shared" si="2"/>
        <v>Medium</v>
      </c>
    </row>
    <row r="87" spans="1:6" x14ac:dyDescent="0.25">
      <c r="A87">
        <v>100086</v>
      </c>
      <c r="B87" s="1">
        <v>92.4</v>
      </c>
      <c r="C87" s="1">
        <v>8.68</v>
      </c>
      <c r="D87" t="s">
        <v>7</v>
      </c>
      <c r="E87" t="s">
        <v>6</v>
      </c>
      <c r="F87" t="str">
        <f t="shared" si="2"/>
        <v>High</v>
      </c>
    </row>
    <row r="88" spans="1:6" x14ac:dyDescent="0.25">
      <c r="A88">
        <v>100087</v>
      </c>
      <c r="B88" s="1">
        <v>64</v>
      </c>
      <c r="C88" s="1">
        <v>9.75</v>
      </c>
      <c r="D88" t="s">
        <v>9</v>
      </c>
      <c r="E88" t="s">
        <v>8</v>
      </c>
      <c r="F88" t="str">
        <f t="shared" si="2"/>
        <v>Medium</v>
      </c>
    </row>
    <row r="89" spans="1:6" x14ac:dyDescent="0.25">
      <c r="A89">
        <v>100088</v>
      </c>
      <c r="B89" s="1">
        <v>70.400000000000006</v>
      </c>
      <c r="C89" s="1">
        <v>8.64</v>
      </c>
      <c r="D89" t="s">
        <v>9</v>
      </c>
      <c r="E89" t="s">
        <v>8</v>
      </c>
      <c r="F89" t="str">
        <f t="shared" si="2"/>
        <v>Medium</v>
      </c>
    </row>
    <row r="90" spans="1:6" x14ac:dyDescent="0.25">
      <c r="A90">
        <v>100089</v>
      </c>
      <c r="B90" s="1">
        <v>87.2</v>
      </c>
      <c r="C90" s="1">
        <v>4.5</v>
      </c>
      <c r="D90" t="s">
        <v>5</v>
      </c>
      <c r="E90" t="s">
        <v>8</v>
      </c>
      <c r="F90" t="str">
        <f t="shared" si="2"/>
        <v>High</v>
      </c>
    </row>
    <row r="91" spans="1:6" x14ac:dyDescent="0.25">
      <c r="A91">
        <v>100090</v>
      </c>
      <c r="B91" s="1">
        <v>63.6</v>
      </c>
      <c r="C91" s="1">
        <v>5.13</v>
      </c>
      <c r="D91" t="s">
        <v>5</v>
      </c>
      <c r="E91" t="s">
        <v>6</v>
      </c>
      <c r="F91" t="str">
        <f t="shared" si="2"/>
        <v>Medium</v>
      </c>
    </row>
    <row r="92" spans="1:6" x14ac:dyDescent="0.25">
      <c r="A92">
        <v>100091</v>
      </c>
      <c r="B92" s="1">
        <v>50.1</v>
      </c>
      <c r="C92" s="1">
        <v>9.27</v>
      </c>
      <c r="D92" t="s">
        <v>9</v>
      </c>
      <c r="E92" t="s">
        <v>8</v>
      </c>
      <c r="F92" t="str">
        <f t="shared" si="2"/>
        <v>Low</v>
      </c>
    </row>
    <row r="93" spans="1:6" x14ac:dyDescent="0.25">
      <c r="A93">
        <v>100092</v>
      </c>
      <c r="B93" s="1">
        <v>52.6</v>
      </c>
      <c r="C93" s="1">
        <v>5.07</v>
      </c>
      <c r="D93" t="s">
        <v>5</v>
      </c>
      <c r="E93" t="s">
        <v>10</v>
      </c>
      <c r="F93" t="str">
        <f t="shared" si="2"/>
        <v>Low</v>
      </c>
    </row>
    <row r="94" spans="1:6" x14ac:dyDescent="0.25">
      <c r="A94">
        <v>100093</v>
      </c>
      <c r="B94" s="1">
        <v>50.2</v>
      </c>
      <c r="C94" s="1">
        <v>7.56</v>
      </c>
      <c r="D94" t="s">
        <v>5</v>
      </c>
      <c r="E94" t="s">
        <v>6</v>
      </c>
      <c r="F94" t="str">
        <f t="shared" si="2"/>
        <v>Low</v>
      </c>
    </row>
    <row r="95" spans="1:6" x14ac:dyDescent="0.25">
      <c r="A95">
        <v>100094</v>
      </c>
      <c r="B95" s="1">
        <v>50.5</v>
      </c>
      <c r="C95" s="1">
        <v>8.83</v>
      </c>
      <c r="D95" t="s">
        <v>7</v>
      </c>
      <c r="E95" t="s">
        <v>8</v>
      </c>
      <c r="F95" t="str">
        <f t="shared" si="2"/>
        <v>Low</v>
      </c>
    </row>
    <row r="96" spans="1:6" x14ac:dyDescent="0.25">
      <c r="A96">
        <v>100095</v>
      </c>
      <c r="B96" s="1">
        <v>63.1</v>
      </c>
      <c r="C96" s="1">
        <v>4.6399999999999997</v>
      </c>
      <c r="D96" t="s">
        <v>5</v>
      </c>
      <c r="E96" t="s">
        <v>8</v>
      </c>
      <c r="F96" t="str">
        <f t="shared" si="2"/>
        <v>Medium</v>
      </c>
    </row>
    <row r="97" spans="1:6" x14ac:dyDescent="0.25">
      <c r="A97">
        <v>100096</v>
      </c>
      <c r="B97" s="1">
        <v>55.3</v>
      </c>
      <c r="C97" s="1">
        <v>9.4700000000000006</v>
      </c>
      <c r="D97" t="s">
        <v>9</v>
      </c>
      <c r="E97" t="s">
        <v>8</v>
      </c>
      <c r="F97" t="str">
        <f t="shared" si="2"/>
        <v>Low</v>
      </c>
    </row>
    <row r="98" spans="1:6" x14ac:dyDescent="0.25">
      <c r="A98">
        <v>100097</v>
      </c>
      <c r="B98" s="1">
        <v>99.8</v>
      </c>
      <c r="C98" s="1">
        <v>6.76</v>
      </c>
      <c r="D98" t="s">
        <v>9</v>
      </c>
      <c r="E98" t="s">
        <v>8</v>
      </c>
      <c r="F98" t="str">
        <f t="shared" ref="F98:F129" si="3">_xlfn.IFS(B98 &lt;=60, "Low", B98 &lt;=80, "Medium", B98 &lt;=100, "High")</f>
        <v>High</v>
      </c>
    </row>
    <row r="99" spans="1:6" x14ac:dyDescent="0.25">
      <c r="A99">
        <v>100098</v>
      </c>
      <c r="B99" s="1">
        <v>53.5</v>
      </c>
      <c r="C99" s="1">
        <v>9.91</v>
      </c>
      <c r="D99" t="s">
        <v>9</v>
      </c>
      <c r="E99" t="s">
        <v>10</v>
      </c>
      <c r="F99" t="str">
        <f t="shared" si="3"/>
        <v>Low</v>
      </c>
    </row>
    <row r="100" spans="1:6" x14ac:dyDescent="0.25">
      <c r="A100">
        <v>100099</v>
      </c>
      <c r="B100" s="1">
        <v>81.599999999999994</v>
      </c>
      <c r="C100" s="1">
        <v>7.22</v>
      </c>
      <c r="D100" t="s">
        <v>9</v>
      </c>
      <c r="E100" t="s">
        <v>10</v>
      </c>
      <c r="F100" t="str">
        <f t="shared" si="3"/>
        <v>High</v>
      </c>
    </row>
    <row r="101" spans="1:6" x14ac:dyDescent="0.25">
      <c r="A101">
        <v>100100</v>
      </c>
      <c r="B101" s="1">
        <v>64.3</v>
      </c>
      <c r="C101" s="1">
        <v>7.56</v>
      </c>
      <c r="D101" t="s">
        <v>7</v>
      </c>
      <c r="E101" t="s">
        <v>8</v>
      </c>
      <c r="F101" t="str">
        <f t="shared" si="3"/>
        <v>Medium</v>
      </c>
    </row>
    <row r="102" spans="1:6" x14ac:dyDescent="0.25">
      <c r="A102">
        <v>100101</v>
      </c>
      <c r="B102" s="1">
        <v>84.1</v>
      </c>
      <c r="C102" s="1">
        <v>8.34</v>
      </c>
      <c r="D102" t="s">
        <v>5</v>
      </c>
      <c r="E102" t="s">
        <v>6</v>
      </c>
      <c r="F102" t="str">
        <f t="shared" si="3"/>
        <v>High</v>
      </c>
    </row>
    <row r="103" spans="1:6" x14ac:dyDescent="0.25">
      <c r="A103">
        <v>100102</v>
      </c>
      <c r="B103" s="1">
        <v>86.3</v>
      </c>
      <c r="C103" s="1">
        <v>5.14</v>
      </c>
      <c r="D103" t="s">
        <v>9</v>
      </c>
      <c r="E103" t="s">
        <v>6</v>
      </c>
      <c r="F103" t="str">
        <f t="shared" si="3"/>
        <v>High</v>
      </c>
    </row>
    <row r="104" spans="1:6" x14ac:dyDescent="0.25">
      <c r="A104">
        <v>100103</v>
      </c>
      <c r="B104" s="1">
        <v>88.2</v>
      </c>
      <c r="C104" s="1">
        <v>7.2</v>
      </c>
      <c r="D104" t="s">
        <v>5</v>
      </c>
      <c r="E104" t="s">
        <v>10</v>
      </c>
      <c r="F104" t="str">
        <f t="shared" si="3"/>
        <v>High</v>
      </c>
    </row>
    <row r="105" spans="1:6" x14ac:dyDescent="0.25">
      <c r="A105">
        <v>100104</v>
      </c>
      <c r="B105" s="1">
        <v>51.2</v>
      </c>
      <c r="C105" s="1">
        <v>8.9700000000000006</v>
      </c>
      <c r="D105" t="s">
        <v>9</v>
      </c>
      <c r="E105" t="s">
        <v>10</v>
      </c>
      <c r="F105" t="str">
        <f t="shared" si="3"/>
        <v>Low</v>
      </c>
    </row>
    <row r="106" spans="1:6" x14ac:dyDescent="0.25">
      <c r="A106">
        <v>100105</v>
      </c>
      <c r="B106" s="1">
        <v>51.4</v>
      </c>
      <c r="C106" s="1">
        <v>5.84</v>
      </c>
      <c r="D106" t="s">
        <v>7</v>
      </c>
      <c r="E106" t="s">
        <v>8</v>
      </c>
      <c r="F106" t="str">
        <f t="shared" si="3"/>
        <v>Low</v>
      </c>
    </row>
    <row r="107" spans="1:6" x14ac:dyDescent="0.25">
      <c r="A107">
        <v>100106</v>
      </c>
      <c r="B107" s="1">
        <v>81.5</v>
      </c>
      <c r="C107" s="1">
        <v>8.0399999999999991</v>
      </c>
      <c r="D107" t="s">
        <v>9</v>
      </c>
      <c r="E107" t="s">
        <v>6</v>
      </c>
      <c r="F107" t="str">
        <f t="shared" si="3"/>
        <v>High</v>
      </c>
    </row>
    <row r="108" spans="1:6" x14ac:dyDescent="0.25">
      <c r="A108">
        <v>100107</v>
      </c>
      <c r="B108" s="1">
        <v>99.6</v>
      </c>
      <c r="C108" s="1">
        <v>8.9700000000000006</v>
      </c>
      <c r="D108" t="s">
        <v>5</v>
      </c>
      <c r="E108" t="s">
        <v>6</v>
      </c>
      <c r="F108" t="str">
        <f t="shared" si="3"/>
        <v>High</v>
      </c>
    </row>
    <row r="109" spans="1:6" x14ac:dyDescent="0.25">
      <c r="A109">
        <v>100108</v>
      </c>
      <c r="B109" s="1">
        <v>62.2</v>
      </c>
      <c r="C109" s="1">
        <v>7.14</v>
      </c>
      <c r="D109" t="s">
        <v>9</v>
      </c>
      <c r="E109" t="s">
        <v>6</v>
      </c>
      <c r="F109" t="str">
        <f t="shared" si="3"/>
        <v>Medium</v>
      </c>
    </row>
    <row r="110" spans="1:6" x14ac:dyDescent="0.25">
      <c r="A110">
        <v>100109</v>
      </c>
      <c r="B110" s="1">
        <v>98.6</v>
      </c>
      <c r="C110" s="1">
        <v>5.41</v>
      </c>
      <c r="D110" t="s">
        <v>9</v>
      </c>
      <c r="E110" t="s">
        <v>10</v>
      </c>
      <c r="F110" t="str">
        <f t="shared" si="3"/>
        <v>High</v>
      </c>
    </row>
    <row r="111" spans="1:6" x14ac:dyDescent="0.25">
      <c r="A111">
        <v>100110</v>
      </c>
      <c r="B111" s="1">
        <v>62.2</v>
      </c>
      <c r="C111" s="1">
        <v>8.64</v>
      </c>
      <c r="D111" t="s">
        <v>7</v>
      </c>
      <c r="E111" t="s">
        <v>8</v>
      </c>
      <c r="F111" t="str">
        <f t="shared" si="3"/>
        <v>Medium</v>
      </c>
    </row>
    <row r="112" spans="1:6" x14ac:dyDescent="0.25">
      <c r="A112">
        <v>100111</v>
      </c>
      <c r="B112" s="1">
        <v>86.1</v>
      </c>
      <c r="C112" s="1">
        <v>9.61</v>
      </c>
      <c r="D112" t="s">
        <v>9</v>
      </c>
      <c r="E112" t="s">
        <v>10</v>
      </c>
      <c r="F112" t="str">
        <f t="shared" si="3"/>
        <v>High</v>
      </c>
    </row>
    <row r="113" spans="1:6" x14ac:dyDescent="0.25">
      <c r="A113">
        <v>100112</v>
      </c>
      <c r="B113" s="1">
        <v>91</v>
      </c>
      <c r="C113" s="1">
        <v>8.48</v>
      </c>
      <c r="D113" t="s">
        <v>5</v>
      </c>
      <c r="E113" t="s">
        <v>10</v>
      </c>
      <c r="F113" t="str">
        <f t="shared" si="3"/>
        <v>High</v>
      </c>
    </row>
    <row r="114" spans="1:6" x14ac:dyDescent="0.25">
      <c r="A114">
        <v>100113</v>
      </c>
      <c r="B114" s="1">
        <v>99.3</v>
      </c>
      <c r="C114" s="1">
        <v>8.02</v>
      </c>
      <c r="D114" t="s">
        <v>5</v>
      </c>
      <c r="E114" t="s">
        <v>8</v>
      </c>
      <c r="F114" t="str">
        <f t="shared" si="3"/>
        <v>High</v>
      </c>
    </row>
    <row r="115" spans="1:6" x14ac:dyDescent="0.25">
      <c r="A115">
        <v>100114</v>
      </c>
      <c r="B115" s="1">
        <v>65.3</v>
      </c>
      <c r="C115" s="1">
        <v>6.39</v>
      </c>
      <c r="D115" t="s">
        <v>9</v>
      </c>
      <c r="E115" t="s">
        <v>10</v>
      </c>
      <c r="F115" t="str">
        <f t="shared" si="3"/>
        <v>Medium</v>
      </c>
    </row>
    <row r="116" spans="1:6" x14ac:dyDescent="0.25">
      <c r="A116">
        <v>100115</v>
      </c>
      <c r="B116" s="1">
        <v>66.7</v>
      </c>
      <c r="C116" s="1">
        <v>7.07</v>
      </c>
      <c r="D116" t="s">
        <v>7</v>
      </c>
      <c r="E116" t="s">
        <v>10</v>
      </c>
      <c r="F116" t="str">
        <f t="shared" si="3"/>
        <v>Medium</v>
      </c>
    </row>
    <row r="117" spans="1:6" x14ac:dyDescent="0.25">
      <c r="A117">
        <v>100116</v>
      </c>
      <c r="B117" s="1">
        <v>78.900000000000006</v>
      </c>
      <c r="C117" s="1">
        <v>8.16</v>
      </c>
      <c r="D117" t="s">
        <v>9</v>
      </c>
      <c r="E117" t="s">
        <v>10</v>
      </c>
      <c r="F117" t="str">
        <f t="shared" si="3"/>
        <v>Medium</v>
      </c>
    </row>
    <row r="118" spans="1:6" x14ac:dyDescent="0.25">
      <c r="A118">
        <v>100117</v>
      </c>
      <c r="B118" s="1">
        <v>61.1</v>
      </c>
      <c r="C118" s="1">
        <v>9.27</v>
      </c>
      <c r="D118" t="s">
        <v>5</v>
      </c>
      <c r="E118" t="s">
        <v>6</v>
      </c>
      <c r="F118" t="str">
        <f t="shared" si="3"/>
        <v>Medium</v>
      </c>
    </row>
    <row r="119" spans="1:6" x14ac:dyDescent="0.25">
      <c r="A119">
        <v>100118</v>
      </c>
      <c r="B119" s="1">
        <v>60.4</v>
      </c>
      <c r="C119" s="1">
        <v>7.28</v>
      </c>
      <c r="D119" t="s">
        <v>9</v>
      </c>
      <c r="E119" t="s">
        <v>6</v>
      </c>
      <c r="F119" t="str">
        <f t="shared" si="3"/>
        <v>Medium</v>
      </c>
    </row>
    <row r="120" spans="1:6" x14ac:dyDescent="0.25">
      <c r="A120">
        <v>100119</v>
      </c>
      <c r="B120" s="1">
        <v>81.900000000000006</v>
      </c>
      <c r="C120" s="1">
        <v>7.71</v>
      </c>
      <c r="D120" t="s">
        <v>5</v>
      </c>
      <c r="E120" t="s">
        <v>8</v>
      </c>
      <c r="F120" t="str">
        <f t="shared" si="3"/>
        <v>High</v>
      </c>
    </row>
    <row r="121" spans="1:6" x14ac:dyDescent="0.25">
      <c r="A121">
        <v>100120</v>
      </c>
      <c r="B121" s="1">
        <v>80.400000000000006</v>
      </c>
      <c r="C121" s="1">
        <v>9.8800000000000008</v>
      </c>
      <c r="D121" t="s">
        <v>7</v>
      </c>
      <c r="E121" t="s">
        <v>8</v>
      </c>
      <c r="F121" t="str">
        <f t="shared" si="3"/>
        <v>High</v>
      </c>
    </row>
    <row r="122" spans="1:6" x14ac:dyDescent="0.25">
      <c r="A122">
        <v>100121</v>
      </c>
      <c r="B122" s="1">
        <v>51.3</v>
      </c>
      <c r="C122" s="1">
        <v>6.83</v>
      </c>
      <c r="D122" t="s">
        <v>5</v>
      </c>
      <c r="E122" t="s">
        <v>10</v>
      </c>
      <c r="F122" t="str">
        <f t="shared" si="3"/>
        <v>Low</v>
      </c>
    </row>
    <row r="123" spans="1:6" x14ac:dyDescent="0.25">
      <c r="A123">
        <v>100122</v>
      </c>
      <c r="B123" s="1">
        <v>86.1</v>
      </c>
      <c r="C123" s="1">
        <v>8.11</v>
      </c>
      <c r="D123" t="s">
        <v>7</v>
      </c>
      <c r="E123" t="s">
        <v>8</v>
      </c>
      <c r="F123" t="str">
        <f t="shared" si="3"/>
        <v>High</v>
      </c>
    </row>
    <row r="124" spans="1:6" x14ac:dyDescent="0.25">
      <c r="A124">
        <v>100123</v>
      </c>
      <c r="B124" s="1">
        <v>88.9</v>
      </c>
      <c r="C124" s="1">
        <v>9.85</v>
      </c>
      <c r="D124" t="s">
        <v>5</v>
      </c>
      <c r="E124" t="s">
        <v>10</v>
      </c>
      <c r="F124" t="str">
        <f t="shared" si="3"/>
        <v>High</v>
      </c>
    </row>
    <row r="125" spans="1:6" x14ac:dyDescent="0.25">
      <c r="A125">
        <v>100124</v>
      </c>
      <c r="B125" s="1">
        <v>76.599999999999994</v>
      </c>
      <c r="C125" s="1">
        <v>7.57</v>
      </c>
      <c r="D125" t="s">
        <v>9</v>
      </c>
      <c r="E125" t="s">
        <v>10</v>
      </c>
      <c r="F125" t="str">
        <f t="shared" si="3"/>
        <v>Medium</v>
      </c>
    </row>
    <row r="126" spans="1:6" x14ac:dyDescent="0.25">
      <c r="A126">
        <v>100125</v>
      </c>
      <c r="B126" s="1">
        <v>74.2</v>
      </c>
      <c r="C126" s="1">
        <v>9.56</v>
      </c>
      <c r="D126" t="s">
        <v>9</v>
      </c>
      <c r="E126" t="s">
        <v>8</v>
      </c>
      <c r="F126" t="str">
        <f t="shared" si="3"/>
        <v>Medium</v>
      </c>
    </row>
    <row r="127" spans="1:6" x14ac:dyDescent="0.25">
      <c r="A127">
        <v>100126</v>
      </c>
      <c r="B127" s="1">
        <v>95.9</v>
      </c>
      <c r="C127" s="1">
        <v>4.7300000000000004</v>
      </c>
      <c r="D127" t="s">
        <v>7</v>
      </c>
      <c r="E127" t="s">
        <v>6</v>
      </c>
      <c r="F127" t="str">
        <f t="shared" si="3"/>
        <v>High</v>
      </c>
    </row>
    <row r="128" spans="1:6" x14ac:dyDescent="0.25">
      <c r="A128">
        <v>100127</v>
      </c>
      <c r="B128" s="1">
        <v>79.099999999999994</v>
      </c>
      <c r="C128" s="1">
        <v>6.11</v>
      </c>
      <c r="D128" t="s">
        <v>9</v>
      </c>
      <c r="E128" t="s">
        <v>8</v>
      </c>
      <c r="F128" t="str">
        <f t="shared" si="3"/>
        <v>Medium</v>
      </c>
    </row>
    <row r="129" spans="1:6" x14ac:dyDescent="0.25">
      <c r="A129">
        <v>100128</v>
      </c>
      <c r="B129" s="1">
        <v>65.8</v>
      </c>
      <c r="C129" s="1">
        <v>4.8499999999999996</v>
      </c>
      <c r="D129" t="s">
        <v>7</v>
      </c>
      <c r="E129" t="s">
        <v>8</v>
      </c>
      <c r="F129" t="str">
        <f t="shared" si="3"/>
        <v>Medium</v>
      </c>
    </row>
    <row r="130" spans="1:6" x14ac:dyDescent="0.25">
      <c r="A130">
        <v>100129</v>
      </c>
      <c r="B130" s="1">
        <v>95.9</v>
      </c>
      <c r="C130" s="1">
        <v>5.69</v>
      </c>
      <c r="D130" t="s">
        <v>5</v>
      </c>
      <c r="E130" t="s">
        <v>8</v>
      </c>
      <c r="F130" t="str">
        <f t="shared" ref="F130:F161" si="4">_xlfn.IFS(B130 &lt;=60, "Low", B130 &lt;=80, "Medium", B130 &lt;=100, "High")</f>
        <v>High</v>
      </c>
    </row>
    <row r="131" spans="1:6" x14ac:dyDescent="0.25">
      <c r="A131">
        <v>100130</v>
      </c>
      <c r="B131" s="1">
        <v>84.3</v>
      </c>
      <c r="C131" s="1">
        <v>7.73</v>
      </c>
      <c r="D131" t="s">
        <v>5</v>
      </c>
      <c r="E131" t="s">
        <v>10</v>
      </c>
      <c r="F131" t="str">
        <f t="shared" si="4"/>
        <v>High</v>
      </c>
    </row>
    <row r="132" spans="1:6" x14ac:dyDescent="0.25">
      <c r="A132">
        <v>100131</v>
      </c>
      <c r="B132" s="1">
        <v>50.3</v>
      </c>
      <c r="C132" s="1">
        <v>8.3699999999999992</v>
      </c>
      <c r="D132" t="s">
        <v>7</v>
      </c>
      <c r="E132" t="s">
        <v>10</v>
      </c>
      <c r="F132" t="str">
        <f t="shared" si="4"/>
        <v>Low</v>
      </c>
    </row>
    <row r="133" spans="1:6" x14ac:dyDescent="0.25">
      <c r="A133">
        <v>100132</v>
      </c>
      <c r="B133" s="1">
        <v>92.6</v>
      </c>
      <c r="C133" s="1">
        <v>9.1</v>
      </c>
      <c r="D133" t="s">
        <v>5</v>
      </c>
      <c r="E133" t="s">
        <v>10</v>
      </c>
      <c r="F133" t="str">
        <f t="shared" si="4"/>
        <v>High</v>
      </c>
    </row>
    <row r="134" spans="1:6" x14ac:dyDescent="0.25">
      <c r="A134">
        <v>100133</v>
      </c>
      <c r="B134" s="1">
        <v>89.5</v>
      </c>
      <c r="C134" s="1">
        <v>4.12</v>
      </c>
      <c r="D134" t="s">
        <v>7</v>
      </c>
      <c r="E134" t="s">
        <v>8</v>
      </c>
      <c r="F134" t="str">
        <f t="shared" si="4"/>
        <v>High</v>
      </c>
    </row>
    <row r="135" spans="1:6" x14ac:dyDescent="0.25">
      <c r="A135">
        <v>100134</v>
      </c>
      <c r="B135" s="1">
        <v>54.4</v>
      </c>
      <c r="C135" s="1">
        <v>9.09</v>
      </c>
      <c r="D135" t="s">
        <v>5</v>
      </c>
      <c r="E135" t="s">
        <v>10</v>
      </c>
      <c r="F135" t="str">
        <f t="shared" si="4"/>
        <v>Low</v>
      </c>
    </row>
    <row r="136" spans="1:6" x14ac:dyDescent="0.25">
      <c r="A136">
        <v>100135</v>
      </c>
      <c r="B136" s="1">
        <v>83.9</v>
      </c>
      <c r="C136" s="1">
        <v>10</v>
      </c>
      <c r="D136" t="s">
        <v>5</v>
      </c>
      <c r="E136" t="s">
        <v>10</v>
      </c>
      <c r="F136" t="str">
        <f t="shared" si="4"/>
        <v>High</v>
      </c>
    </row>
    <row r="137" spans="1:6" x14ac:dyDescent="0.25">
      <c r="A137">
        <v>100136</v>
      </c>
      <c r="B137" s="1">
        <v>67.400000000000006</v>
      </c>
      <c r="C137" s="1">
        <v>4.2300000000000004</v>
      </c>
      <c r="D137" t="s">
        <v>7</v>
      </c>
      <c r="E137" t="s">
        <v>8</v>
      </c>
      <c r="F137" t="str">
        <f t="shared" si="4"/>
        <v>Medium</v>
      </c>
    </row>
    <row r="138" spans="1:6" x14ac:dyDescent="0.25">
      <c r="A138">
        <v>100137</v>
      </c>
      <c r="B138" s="1">
        <v>61.3</v>
      </c>
      <c r="C138" s="1">
        <v>6.1</v>
      </c>
      <c r="D138" t="s">
        <v>9</v>
      </c>
      <c r="E138" t="s">
        <v>8</v>
      </c>
      <c r="F138" t="str">
        <f t="shared" si="4"/>
        <v>Medium</v>
      </c>
    </row>
    <row r="139" spans="1:6" x14ac:dyDescent="0.25">
      <c r="A139">
        <v>100138</v>
      </c>
      <c r="B139" s="1">
        <v>84.6</v>
      </c>
      <c r="C139" s="1">
        <v>4.32</v>
      </c>
      <c r="D139" t="s">
        <v>7</v>
      </c>
      <c r="E139" t="s">
        <v>10</v>
      </c>
      <c r="F139" t="str">
        <f t="shared" si="4"/>
        <v>High</v>
      </c>
    </row>
    <row r="140" spans="1:6" x14ac:dyDescent="0.25">
      <c r="A140">
        <v>100139</v>
      </c>
      <c r="B140" s="1">
        <v>90.9</v>
      </c>
      <c r="C140" s="1">
        <v>4.49</v>
      </c>
      <c r="D140" t="s">
        <v>7</v>
      </c>
      <c r="E140" t="s">
        <v>8</v>
      </c>
      <c r="F140" t="str">
        <f t="shared" si="4"/>
        <v>High</v>
      </c>
    </row>
    <row r="141" spans="1:6" x14ac:dyDescent="0.25">
      <c r="A141">
        <v>100140</v>
      </c>
      <c r="B141" s="1">
        <v>52</v>
      </c>
      <c r="C141" s="1">
        <v>7.43</v>
      </c>
      <c r="D141" t="s">
        <v>9</v>
      </c>
      <c r="E141" t="s">
        <v>8</v>
      </c>
      <c r="F141" t="str">
        <f t="shared" si="4"/>
        <v>Low</v>
      </c>
    </row>
    <row r="142" spans="1:6" x14ac:dyDescent="0.25">
      <c r="A142">
        <v>100141</v>
      </c>
      <c r="B142" s="1">
        <v>87.2</v>
      </c>
      <c r="C142" s="1">
        <v>9.9600000000000009</v>
      </c>
      <c r="D142" t="s">
        <v>5</v>
      </c>
      <c r="E142" t="s">
        <v>6</v>
      </c>
      <c r="F142" t="str">
        <f t="shared" si="4"/>
        <v>High</v>
      </c>
    </row>
    <row r="143" spans="1:6" x14ac:dyDescent="0.25">
      <c r="A143">
        <v>100142</v>
      </c>
      <c r="B143" s="1">
        <v>80.8</v>
      </c>
      <c r="C143" s="1">
        <v>5.18</v>
      </c>
      <c r="D143" t="s">
        <v>7</v>
      </c>
      <c r="E143" t="s">
        <v>6</v>
      </c>
      <c r="F143" t="str">
        <f t="shared" si="4"/>
        <v>High</v>
      </c>
    </row>
    <row r="144" spans="1:6" x14ac:dyDescent="0.25">
      <c r="A144">
        <v>100143</v>
      </c>
      <c r="B144" s="1">
        <v>83.5</v>
      </c>
      <c r="C144" s="1">
        <v>8.69</v>
      </c>
      <c r="D144" t="s">
        <v>9</v>
      </c>
      <c r="E144" t="s">
        <v>6</v>
      </c>
      <c r="F144" t="str">
        <f t="shared" si="4"/>
        <v>High</v>
      </c>
    </row>
    <row r="145" spans="1:6" x14ac:dyDescent="0.25">
      <c r="A145">
        <v>100144</v>
      </c>
      <c r="B145" s="1">
        <v>92</v>
      </c>
      <c r="C145" s="1">
        <v>5.77</v>
      </c>
      <c r="D145" t="s">
        <v>5</v>
      </c>
      <c r="E145" t="s">
        <v>10</v>
      </c>
      <c r="F145" t="str">
        <f t="shared" si="4"/>
        <v>High</v>
      </c>
    </row>
    <row r="146" spans="1:6" x14ac:dyDescent="0.25">
      <c r="A146">
        <v>100145</v>
      </c>
      <c r="B146" s="1">
        <v>83.4</v>
      </c>
      <c r="C146" s="1">
        <v>4.53</v>
      </c>
      <c r="D146" t="s">
        <v>5</v>
      </c>
      <c r="E146" t="s">
        <v>6</v>
      </c>
      <c r="F146" t="str">
        <f t="shared" si="4"/>
        <v>High</v>
      </c>
    </row>
    <row r="147" spans="1:6" x14ac:dyDescent="0.25">
      <c r="A147">
        <v>100146</v>
      </c>
      <c r="B147" s="1">
        <v>80.099999999999994</v>
      </c>
      <c r="C147" s="1">
        <v>8.34</v>
      </c>
      <c r="D147" t="s">
        <v>7</v>
      </c>
      <c r="E147" t="s">
        <v>8</v>
      </c>
      <c r="F147" t="str">
        <f t="shared" si="4"/>
        <v>High</v>
      </c>
    </row>
    <row r="148" spans="1:6" x14ac:dyDescent="0.25">
      <c r="A148">
        <v>100147</v>
      </c>
      <c r="B148" s="1">
        <v>82.7</v>
      </c>
      <c r="C148" s="1">
        <v>5.62</v>
      </c>
      <c r="D148" t="s">
        <v>7</v>
      </c>
      <c r="E148" t="s">
        <v>10</v>
      </c>
      <c r="F148" t="str">
        <f t="shared" si="4"/>
        <v>High</v>
      </c>
    </row>
    <row r="149" spans="1:6" x14ac:dyDescent="0.25">
      <c r="A149">
        <v>100148</v>
      </c>
      <c r="B149" s="1">
        <v>57.8</v>
      </c>
      <c r="C149" s="1">
        <v>8.39</v>
      </c>
      <c r="D149" t="s">
        <v>9</v>
      </c>
      <c r="E149" t="s">
        <v>6</v>
      </c>
      <c r="F149" t="str">
        <f t="shared" si="4"/>
        <v>Low</v>
      </c>
    </row>
    <row r="150" spans="1:6" x14ac:dyDescent="0.25">
      <c r="A150">
        <v>100149</v>
      </c>
      <c r="B150" s="1">
        <v>95.5</v>
      </c>
      <c r="C150" s="1">
        <v>5.15</v>
      </c>
      <c r="D150" t="s">
        <v>9</v>
      </c>
      <c r="E150" t="s">
        <v>10</v>
      </c>
      <c r="F150" t="str">
        <f t="shared" si="4"/>
        <v>High</v>
      </c>
    </row>
    <row r="151" spans="1:6" x14ac:dyDescent="0.25">
      <c r="A151">
        <v>100150</v>
      </c>
      <c r="B151" s="1">
        <v>57.2</v>
      </c>
      <c r="C151" s="1">
        <v>7.21</v>
      </c>
      <c r="D151" t="s">
        <v>5</v>
      </c>
      <c r="E151" t="s">
        <v>8</v>
      </c>
      <c r="F151" t="str">
        <f t="shared" si="4"/>
        <v>Low</v>
      </c>
    </row>
    <row r="152" spans="1:6" x14ac:dyDescent="0.25">
      <c r="A152">
        <v>100151</v>
      </c>
      <c r="B152" s="1">
        <v>52.9</v>
      </c>
      <c r="C152" s="1">
        <v>4.76</v>
      </c>
      <c r="D152" t="s">
        <v>5</v>
      </c>
      <c r="E152" t="s">
        <v>10</v>
      </c>
      <c r="F152" t="str">
        <f t="shared" si="4"/>
        <v>Low</v>
      </c>
    </row>
    <row r="153" spans="1:6" x14ac:dyDescent="0.25">
      <c r="A153">
        <v>100152</v>
      </c>
      <c r="B153" s="1">
        <v>62.7</v>
      </c>
      <c r="C153" s="1">
        <v>5.57</v>
      </c>
      <c r="D153" t="s">
        <v>5</v>
      </c>
      <c r="E153" t="s">
        <v>8</v>
      </c>
      <c r="F153" t="str">
        <f t="shared" si="4"/>
        <v>Medium</v>
      </c>
    </row>
    <row r="154" spans="1:6" x14ac:dyDescent="0.25">
      <c r="A154">
        <v>100153</v>
      </c>
      <c r="B154" s="1">
        <v>57.8</v>
      </c>
      <c r="C154" s="1">
        <v>6.68</v>
      </c>
      <c r="D154" t="s">
        <v>7</v>
      </c>
      <c r="E154" t="s">
        <v>6</v>
      </c>
      <c r="F154" t="str">
        <f t="shared" si="4"/>
        <v>Low</v>
      </c>
    </row>
    <row r="155" spans="1:6" x14ac:dyDescent="0.25">
      <c r="A155">
        <v>100154</v>
      </c>
      <c r="B155" s="1">
        <v>52.5</v>
      </c>
      <c r="C155" s="1">
        <v>4.8099999999999996</v>
      </c>
      <c r="D155" t="s">
        <v>5</v>
      </c>
      <c r="E155" t="s">
        <v>10</v>
      </c>
      <c r="F155" t="str">
        <f t="shared" si="4"/>
        <v>Low</v>
      </c>
    </row>
    <row r="156" spans="1:6" x14ac:dyDescent="0.25">
      <c r="A156">
        <v>100155</v>
      </c>
      <c r="B156" s="1">
        <v>87.8</v>
      </c>
      <c r="C156" s="1">
        <v>5.08</v>
      </c>
      <c r="D156" t="s">
        <v>7</v>
      </c>
      <c r="E156" t="s">
        <v>10</v>
      </c>
      <c r="F156" t="str">
        <f t="shared" si="4"/>
        <v>High</v>
      </c>
    </row>
    <row r="157" spans="1:6" x14ac:dyDescent="0.25">
      <c r="A157">
        <v>100156</v>
      </c>
      <c r="B157" s="1">
        <v>62.2</v>
      </c>
      <c r="C157" s="1">
        <v>6.69</v>
      </c>
      <c r="D157" t="s">
        <v>5</v>
      </c>
      <c r="E157" t="s">
        <v>8</v>
      </c>
      <c r="F157" t="str">
        <f t="shared" si="4"/>
        <v>Medium</v>
      </c>
    </row>
    <row r="158" spans="1:6" x14ac:dyDescent="0.25">
      <c r="A158">
        <v>100157</v>
      </c>
      <c r="B158" s="1">
        <v>56.4</v>
      </c>
      <c r="C158" s="1">
        <v>4.87</v>
      </c>
      <c r="D158" t="s">
        <v>9</v>
      </c>
      <c r="E158" t="s">
        <v>10</v>
      </c>
      <c r="F158" t="str">
        <f t="shared" si="4"/>
        <v>Low</v>
      </c>
    </row>
    <row r="159" spans="1:6" x14ac:dyDescent="0.25">
      <c r="A159">
        <v>100158</v>
      </c>
      <c r="B159" s="1">
        <v>87.9</v>
      </c>
      <c r="C159" s="1">
        <v>5.51</v>
      </c>
      <c r="D159" t="s">
        <v>9</v>
      </c>
      <c r="E159" t="s">
        <v>8</v>
      </c>
      <c r="F159" t="str">
        <f t="shared" si="4"/>
        <v>High</v>
      </c>
    </row>
    <row r="160" spans="1:6" x14ac:dyDescent="0.25">
      <c r="A160">
        <v>100159</v>
      </c>
      <c r="B160" s="1">
        <v>98.4</v>
      </c>
      <c r="C160" s="1">
        <v>8.2200000000000006</v>
      </c>
      <c r="D160" t="s">
        <v>5</v>
      </c>
      <c r="E160" t="s">
        <v>6</v>
      </c>
      <c r="F160" t="str">
        <f t="shared" si="4"/>
        <v>High</v>
      </c>
    </row>
    <row r="161" spans="1:6" x14ac:dyDescent="0.25">
      <c r="A161">
        <v>100160</v>
      </c>
      <c r="B161" s="1">
        <v>96</v>
      </c>
      <c r="C161" s="1">
        <v>8.8699999999999992</v>
      </c>
      <c r="D161" t="s">
        <v>9</v>
      </c>
      <c r="E161" t="s">
        <v>6</v>
      </c>
      <c r="F161" t="str">
        <f t="shared" si="4"/>
        <v>High</v>
      </c>
    </row>
    <row r="162" spans="1:6" x14ac:dyDescent="0.25">
      <c r="A162">
        <v>100161</v>
      </c>
      <c r="B162" s="1">
        <v>90.2</v>
      </c>
      <c r="C162" s="1">
        <v>6.8</v>
      </c>
      <c r="D162" t="s">
        <v>5</v>
      </c>
      <c r="E162" t="s">
        <v>8</v>
      </c>
      <c r="F162" t="str">
        <f t="shared" ref="F162:F193" si="5">_xlfn.IFS(B162 &lt;=60, "Low", B162 &lt;=80, "Medium", B162 &lt;=100, "High")</f>
        <v>High</v>
      </c>
    </row>
    <row r="163" spans="1:6" x14ac:dyDescent="0.25">
      <c r="A163">
        <v>100162</v>
      </c>
      <c r="B163" s="1">
        <v>56.6</v>
      </c>
      <c r="C163" s="1">
        <v>4.07</v>
      </c>
      <c r="D163" t="s">
        <v>5</v>
      </c>
      <c r="E163" t="s">
        <v>10</v>
      </c>
      <c r="F163" t="str">
        <f t="shared" si="5"/>
        <v>Low</v>
      </c>
    </row>
    <row r="164" spans="1:6" x14ac:dyDescent="0.25">
      <c r="A164">
        <v>100163</v>
      </c>
      <c r="B164" s="1">
        <v>92.9</v>
      </c>
      <c r="C164" s="1">
        <v>9.18</v>
      </c>
      <c r="D164" t="s">
        <v>9</v>
      </c>
      <c r="E164" t="s">
        <v>6</v>
      </c>
      <c r="F164" t="str">
        <f t="shared" si="5"/>
        <v>High</v>
      </c>
    </row>
    <row r="165" spans="1:6" x14ac:dyDescent="0.25">
      <c r="A165">
        <v>100164</v>
      </c>
      <c r="B165" s="1">
        <v>95</v>
      </c>
      <c r="C165" s="1">
        <v>6.86</v>
      </c>
      <c r="D165" t="s">
        <v>5</v>
      </c>
      <c r="E165" t="s">
        <v>8</v>
      </c>
      <c r="F165" t="str">
        <f t="shared" si="5"/>
        <v>High</v>
      </c>
    </row>
    <row r="166" spans="1:6" x14ac:dyDescent="0.25">
      <c r="A166">
        <v>100165</v>
      </c>
      <c r="B166" s="1">
        <v>82.7</v>
      </c>
      <c r="C166" s="1">
        <v>7.36</v>
      </c>
      <c r="D166" t="s">
        <v>7</v>
      </c>
      <c r="E166" t="s">
        <v>8</v>
      </c>
      <c r="F166" t="str">
        <f t="shared" si="5"/>
        <v>High</v>
      </c>
    </row>
    <row r="167" spans="1:6" x14ac:dyDescent="0.25">
      <c r="A167">
        <v>100166</v>
      </c>
      <c r="B167" s="1">
        <v>66.8</v>
      </c>
      <c r="C167" s="1">
        <v>4.01</v>
      </c>
      <c r="D167" t="s">
        <v>9</v>
      </c>
      <c r="E167" t="s">
        <v>6</v>
      </c>
      <c r="F167" t="str">
        <f t="shared" si="5"/>
        <v>Medium</v>
      </c>
    </row>
    <row r="168" spans="1:6" x14ac:dyDescent="0.25">
      <c r="A168">
        <v>100167</v>
      </c>
      <c r="B168" s="1">
        <v>82.7</v>
      </c>
      <c r="C168" s="1">
        <v>4.9400000000000004</v>
      </c>
      <c r="D168" t="s">
        <v>7</v>
      </c>
      <c r="E168" t="s">
        <v>10</v>
      </c>
      <c r="F168" t="str">
        <f t="shared" si="5"/>
        <v>High</v>
      </c>
    </row>
    <row r="169" spans="1:6" x14ac:dyDescent="0.25">
      <c r="A169">
        <v>100168</v>
      </c>
      <c r="B169" s="1">
        <v>73</v>
      </c>
      <c r="C169" s="1">
        <v>4.26</v>
      </c>
      <c r="D169" t="s">
        <v>7</v>
      </c>
      <c r="E169" t="s">
        <v>6</v>
      </c>
      <c r="F169" t="str">
        <f t="shared" si="5"/>
        <v>Medium</v>
      </c>
    </row>
    <row r="170" spans="1:6" x14ac:dyDescent="0.25">
      <c r="A170">
        <v>100169</v>
      </c>
      <c r="B170" s="1">
        <v>63.2</v>
      </c>
      <c r="C170" s="1">
        <v>9.24</v>
      </c>
      <c r="D170" t="s">
        <v>9</v>
      </c>
      <c r="E170" t="s">
        <v>8</v>
      </c>
      <c r="F170" t="str">
        <f t="shared" si="5"/>
        <v>Medium</v>
      </c>
    </row>
    <row r="171" spans="1:6" x14ac:dyDescent="0.25">
      <c r="A171">
        <v>100170</v>
      </c>
      <c r="B171" s="1">
        <v>64.8</v>
      </c>
      <c r="C171" s="1">
        <v>6.76</v>
      </c>
      <c r="D171" t="s">
        <v>9</v>
      </c>
      <c r="E171" t="s">
        <v>8</v>
      </c>
      <c r="F171" t="str">
        <f t="shared" si="5"/>
        <v>Medium</v>
      </c>
    </row>
    <row r="172" spans="1:6" x14ac:dyDescent="0.25">
      <c r="A172">
        <v>100171</v>
      </c>
      <c r="B172" s="1">
        <v>90.1</v>
      </c>
      <c r="C172" s="1">
        <v>6.17</v>
      </c>
      <c r="D172" t="s">
        <v>7</v>
      </c>
      <c r="E172" t="s">
        <v>8</v>
      </c>
      <c r="F172" t="str">
        <f t="shared" si="5"/>
        <v>High</v>
      </c>
    </row>
    <row r="173" spans="1:6" x14ac:dyDescent="0.25">
      <c r="A173">
        <v>100172</v>
      </c>
      <c r="B173" s="1">
        <v>98.2</v>
      </c>
      <c r="C173" s="1">
        <v>8.92</v>
      </c>
      <c r="D173" t="s">
        <v>9</v>
      </c>
      <c r="E173" t="s">
        <v>6</v>
      </c>
      <c r="F173" t="str">
        <f t="shared" si="5"/>
        <v>High</v>
      </c>
    </row>
    <row r="174" spans="1:6" x14ac:dyDescent="0.25">
      <c r="A174">
        <v>100173</v>
      </c>
      <c r="B174" s="1">
        <v>52.6</v>
      </c>
      <c r="C174" s="1">
        <v>6.98</v>
      </c>
      <c r="D174" t="s">
        <v>9</v>
      </c>
      <c r="E174" t="s">
        <v>10</v>
      </c>
      <c r="F174" t="str">
        <f t="shared" si="5"/>
        <v>Low</v>
      </c>
    </row>
    <row r="175" spans="1:6" x14ac:dyDescent="0.25">
      <c r="A175">
        <v>100174</v>
      </c>
      <c r="B175" s="1">
        <v>68.5</v>
      </c>
      <c r="C175" s="1">
        <v>9.61</v>
      </c>
      <c r="D175" t="s">
        <v>7</v>
      </c>
      <c r="E175" t="s">
        <v>8</v>
      </c>
      <c r="F175" t="str">
        <f t="shared" si="5"/>
        <v>Medium</v>
      </c>
    </row>
    <row r="176" spans="1:6" x14ac:dyDescent="0.25">
      <c r="A176">
        <v>100175</v>
      </c>
      <c r="B176" s="1">
        <v>75.599999999999994</v>
      </c>
      <c r="C176" s="1">
        <v>5.51</v>
      </c>
      <c r="D176" t="s">
        <v>9</v>
      </c>
      <c r="E176" t="s">
        <v>8</v>
      </c>
      <c r="F176" t="str">
        <f t="shared" si="5"/>
        <v>Medium</v>
      </c>
    </row>
    <row r="177" spans="1:6" x14ac:dyDescent="0.25">
      <c r="A177">
        <v>100176</v>
      </c>
      <c r="B177" s="1">
        <v>69.900000000000006</v>
      </c>
      <c r="C177" s="1">
        <v>9.5299999999999994</v>
      </c>
      <c r="D177" t="s">
        <v>5</v>
      </c>
      <c r="E177" t="s">
        <v>8</v>
      </c>
      <c r="F177" t="str">
        <f t="shared" si="5"/>
        <v>Medium</v>
      </c>
    </row>
    <row r="178" spans="1:6" x14ac:dyDescent="0.25">
      <c r="A178">
        <v>100177</v>
      </c>
      <c r="B178" s="1">
        <v>96.5</v>
      </c>
      <c r="C178" s="1">
        <v>5.95</v>
      </c>
      <c r="D178" t="s">
        <v>5</v>
      </c>
      <c r="E178" t="s">
        <v>8</v>
      </c>
      <c r="F178" t="str">
        <f t="shared" si="5"/>
        <v>High</v>
      </c>
    </row>
    <row r="179" spans="1:6" x14ac:dyDescent="0.25">
      <c r="A179">
        <v>100178</v>
      </c>
      <c r="B179" s="1">
        <v>62.9</v>
      </c>
      <c r="C179" s="1">
        <v>9.99</v>
      </c>
      <c r="D179" t="s">
        <v>9</v>
      </c>
      <c r="E179" t="s">
        <v>10</v>
      </c>
      <c r="F179" t="str">
        <f t="shared" si="5"/>
        <v>Medium</v>
      </c>
    </row>
    <row r="180" spans="1:6" x14ac:dyDescent="0.25">
      <c r="A180">
        <v>100179</v>
      </c>
      <c r="B180" s="1">
        <v>68.5</v>
      </c>
      <c r="C180" s="1">
        <v>6.68</v>
      </c>
      <c r="D180" t="s">
        <v>5</v>
      </c>
      <c r="E180" t="s">
        <v>10</v>
      </c>
      <c r="F180" t="str">
        <f t="shared" si="5"/>
        <v>Medium</v>
      </c>
    </row>
    <row r="181" spans="1:6" x14ac:dyDescent="0.25">
      <c r="A181">
        <v>100180</v>
      </c>
      <c r="B181" s="1">
        <v>74.3</v>
      </c>
      <c r="C181" s="1">
        <v>4.9400000000000004</v>
      </c>
      <c r="D181" t="s">
        <v>9</v>
      </c>
      <c r="E181" t="s">
        <v>6</v>
      </c>
      <c r="F181" t="str">
        <f t="shared" si="5"/>
        <v>Medium</v>
      </c>
    </row>
    <row r="182" spans="1:6" x14ac:dyDescent="0.25">
      <c r="A182">
        <v>100181</v>
      </c>
      <c r="B182" s="1">
        <v>78.2</v>
      </c>
      <c r="C182" s="1">
        <v>8.9</v>
      </c>
      <c r="D182" t="s">
        <v>9</v>
      </c>
      <c r="E182" t="s">
        <v>6</v>
      </c>
      <c r="F182" t="str">
        <f t="shared" si="5"/>
        <v>Medium</v>
      </c>
    </row>
    <row r="183" spans="1:6" x14ac:dyDescent="0.25">
      <c r="A183">
        <v>100182</v>
      </c>
      <c r="B183" s="1">
        <v>61.7</v>
      </c>
      <c r="C183" s="1">
        <v>7.46</v>
      </c>
      <c r="D183" t="s">
        <v>9</v>
      </c>
      <c r="E183" t="s">
        <v>8</v>
      </c>
      <c r="F183" t="str">
        <f t="shared" si="5"/>
        <v>Medium</v>
      </c>
    </row>
    <row r="184" spans="1:6" x14ac:dyDescent="0.25">
      <c r="A184">
        <v>100183</v>
      </c>
      <c r="B184" s="1">
        <v>89.5</v>
      </c>
      <c r="C184" s="1">
        <v>8.73</v>
      </c>
      <c r="D184" t="s">
        <v>5</v>
      </c>
      <c r="E184" t="s">
        <v>6</v>
      </c>
      <c r="F184" t="str">
        <f t="shared" si="5"/>
        <v>High</v>
      </c>
    </row>
    <row r="185" spans="1:6" x14ac:dyDescent="0.25">
      <c r="A185">
        <v>100184</v>
      </c>
      <c r="B185" s="1">
        <v>69.900000000000006</v>
      </c>
      <c r="C185" s="1">
        <v>4.2300000000000004</v>
      </c>
      <c r="D185" t="s">
        <v>7</v>
      </c>
      <c r="E185" t="s">
        <v>6</v>
      </c>
      <c r="F185" t="str">
        <f t="shared" si="5"/>
        <v>Medium</v>
      </c>
    </row>
    <row r="186" spans="1:6" x14ac:dyDescent="0.25">
      <c r="A186">
        <v>100185</v>
      </c>
      <c r="B186" s="1">
        <v>61.6</v>
      </c>
      <c r="C186" s="1">
        <v>5.96</v>
      </c>
      <c r="D186" t="s">
        <v>7</v>
      </c>
      <c r="E186" t="s">
        <v>8</v>
      </c>
      <c r="F186" t="str">
        <f t="shared" si="5"/>
        <v>Medium</v>
      </c>
    </row>
    <row r="187" spans="1:6" x14ac:dyDescent="0.25">
      <c r="A187">
        <v>100186</v>
      </c>
      <c r="B187" s="1">
        <v>77.2</v>
      </c>
      <c r="C187" s="1">
        <v>8.01</v>
      </c>
      <c r="D187" t="s">
        <v>5</v>
      </c>
      <c r="E187" t="s">
        <v>8</v>
      </c>
      <c r="F187" t="str">
        <f t="shared" si="5"/>
        <v>Medium</v>
      </c>
    </row>
    <row r="188" spans="1:6" x14ac:dyDescent="0.25">
      <c r="A188">
        <v>100187</v>
      </c>
      <c r="B188" s="1">
        <v>73.099999999999994</v>
      </c>
      <c r="C188" s="1">
        <v>9.2100000000000009</v>
      </c>
      <c r="D188" t="s">
        <v>9</v>
      </c>
      <c r="E188" t="s">
        <v>10</v>
      </c>
      <c r="F188" t="str">
        <f t="shared" si="5"/>
        <v>Medium</v>
      </c>
    </row>
    <row r="189" spans="1:6" x14ac:dyDescent="0.25">
      <c r="A189">
        <v>100188</v>
      </c>
      <c r="B189" s="1">
        <v>80.599999999999994</v>
      </c>
      <c r="C189" s="1">
        <v>8.01</v>
      </c>
      <c r="D189" t="s">
        <v>5</v>
      </c>
      <c r="E189" t="s">
        <v>8</v>
      </c>
      <c r="F189" t="str">
        <f t="shared" si="5"/>
        <v>High</v>
      </c>
    </row>
    <row r="190" spans="1:6" x14ac:dyDescent="0.25">
      <c r="A190">
        <v>100189</v>
      </c>
      <c r="B190" s="1">
        <v>81.5</v>
      </c>
      <c r="C190" s="1">
        <v>7.15</v>
      </c>
      <c r="D190" t="s">
        <v>9</v>
      </c>
      <c r="E190" t="s">
        <v>10</v>
      </c>
      <c r="F190" t="str">
        <f t="shared" si="5"/>
        <v>High</v>
      </c>
    </row>
    <row r="191" spans="1:6" x14ac:dyDescent="0.25">
      <c r="A191">
        <v>100190</v>
      </c>
      <c r="B191" s="1">
        <v>63.4</v>
      </c>
      <c r="C191" s="1">
        <v>9.9</v>
      </c>
      <c r="D191" t="s">
        <v>5</v>
      </c>
      <c r="E191" t="s">
        <v>8</v>
      </c>
      <c r="F191" t="str">
        <f t="shared" si="5"/>
        <v>Medium</v>
      </c>
    </row>
    <row r="192" spans="1:6" x14ac:dyDescent="0.25">
      <c r="A192">
        <v>100191</v>
      </c>
      <c r="B192" s="1">
        <v>84.6</v>
      </c>
      <c r="C192" s="1">
        <v>9.0299999999999994</v>
      </c>
      <c r="D192" t="s">
        <v>9</v>
      </c>
      <c r="E192" t="s">
        <v>8</v>
      </c>
      <c r="F192" t="str">
        <f t="shared" si="5"/>
        <v>High</v>
      </c>
    </row>
    <row r="193" spans="1:6" x14ac:dyDescent="0.25">
      <c r="A193">
        <v>100192</v>
      </c>
      <c r="B193" s="1">
        <v>87.5</v>
      </c>
      <c r="C193" s="1">
        <v>6.06</v>
      </c>
      <c r="D193" t="s">
        <v>7</v>
      </c>
      <c r="E193" t="s">
        <v>8</v>
      </c>
      <c r="F193" t="str">
        <f t="shared" si="5"/>
        <v>High</v>
      </c>
    </row>
    <row r="194" spans="1:6" x14ac:dyDescent="0.25">
      <c r="A194">
        <v>100193</v>
      </c>
      <c r="B194" s="1">
        <v>83.1</v>
      </c>
      <c r="C194" s="1">
        <v>5.12</v>
      </c>
      <c r="D194" t="s">
        <v>9</v>
      </c>
      <c r="E194" t="s">
        <v>6</v>
      </c>
      <c r="F194" t="str">
        <f t="shared" ref="F194:F201" si="6">_xlfn.IFS(B194 &lt;=60, "Low", B194 &lt;=80, "Medium", B194 &lt;=100, "High")</f>
        <v>High</v>
      </c>
    </row>
    <row r="195" spans="1:6" x14ac:dyDescent="0.25">
      <c r="A195">
        <v>100194</v>
      </c>
      <c r="B195" s="1">
        <v>66.599999999999994</v>
      </c>
      <c r="C195" s="1">
        <v>9.9700000000000006</v>
      </c>
      <c r="D195" t="s">
        <v>9</v>
      </c>
      <c r="E195" t="s">
        <v>6</v>
      </c>
      <c r="F195" t="str">
        <f t="shared" si="6"/>
        <v>Medium</v>
      </c>
    </row>
    <row r="196" spans="1:6" x14ac:dyDescent="0.25">
      <c r="A196">
        <v>100195</v>
      </c>
      <c r="B196" s="1">
        <v>97.8</v>
      </c>
      <c r="C196" s="1">
        <v>4.25</v>
      </c>
      <c r="D196" t="s">
        <v>9</v>
      </c>
      <c r="E196" t="s">
        <v>6</v>
      </c>
      <c r="F196" t="str">
        <f t="shared" si="6"/>
        <v>High</v>
      </c>
    </row>
    <row r="197" spans="1:6" x14ac:dyDescent="0.25">
      <c r="A197">
        <v>100196</v>
      </c>
      <c r="B197" s="1">
        <v>87.1</v>
      </c>
      <c r="C197" s="1">
        <v>8.27</v>
      </c>
      <c r="D197" t="s">
        <v>9</v>
      </c>
      <c r="E197" t="s">
        <v>6</v>
      </c>
      <c r="F197" t="str">
        <f t="shared" si="6"/>
        <v>High</v>
      </c>
    </row>
    <row r="198" spans="1:6" x14ac:dyDescent="0.25">
      <c r="A198">
        <v>100197</v>
      </c>
      <c r="B198" s="1">
        <v>78.3</v>
      </c>
      <c r="C198" s="1">
        <v>5.7</v>
      </c>
      <c r="D198" t="s">
        <v>9</v>
      </c>
      <c r="E198" t="s">
        <v>6</v>
      </c>
      <c r="F198" t="str">
        <f t="shared" si="6"/>
        <v>Medium</v>
      </c>
    </row>
    <row r="199" spans="1:6" x14ac:dyDescent="0.25">
      <c r="A199">
        <v>100198</v>
      </c>
      <c r="B199" s="1">
        <v>57.6</v>
      </c>
      <c r="C199" s="1">
        <v>6.95</v>
      </c>
      <c r="D199" t="s">
        <v>7</v>
      </c>
      <c r="E199" t="s">
        <v>10</v>
      </c>
      <c r="F199" t="str">
        <f t="shared" si="6"/>
        <v>Low</v>
      </c>
    </row>
    <row r="200" spans="1:6" x14ac:dyDescent="0.25">
      <c r="A200">
        <v>100199</v>
      </c>
      <c r="B200" s="1">
        <v>73.900000000000006</v>
      </c>
      <c r="C200" s="1">
        <v>4.6500000000000004</v>
      </c>
      <c r="D200" t="s">
        <v>9</v>
      </c>
      <c r="E200" t="s">
        <v>6</v>
      </c>
      <c r="F200" t="str">
        <f t="shared" si="6"/>
        <v>Medium</v>
      </c>
    </row>
    <row r="201" spans="1:6" x14ac:dyDescent="0.25">
      <c r="A201">
        <v>100200</v>
      </c>
      <c r="B201" s="1">
        <v>76.5</v>
      </c>
      <c r="C201" s="1">
        <v>8.33</v>
      </c>
      <c r="D201" t="s">
        <v>9</v>
      </c>
      <c r="E201" t="s">
        <v>10</v>
      </c>
      <c r="F201" t="str">
        <f t="shared" si="6"/>
        <v>Medium</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Sarkolee</dc:creator>
  <cp:lastModifiedBy>Saka Ayomide</cp:lastModifiedBy>
  <dcterms:created xsi:type="dcterms:W3CDTF">2026-05-05T12:54:32Z</dcterms:created>
  <dcterms:modified xsi:type="dcterms:W3CDTF">2026-05-08T16:57:46Z</dcterms:modified>
</cp:coreProperties>
</file>